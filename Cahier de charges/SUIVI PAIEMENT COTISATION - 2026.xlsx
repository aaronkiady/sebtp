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LORIA\COTISATION\2026\"/>
    </mc:Choice>
  </mc:AlternateContent>
  <xr:revisionPtr revIDLastSave="0" documentId="13_ncr:1_{1C8CC12F-4FF0-45E1-BC11-85E794B4A9F0}" xr6:coauthVersionLast="47" xr6:coauthVersionMax="47" xr10:uidLastSave="{00000000-0000-0000-0000-000000000000}"/>
  <bookViews>
    <workbookView xWindow="-120" yWindow="-120" windowWidth="20730" windowHeight="11160" tabRatio="586" xr2:uid="{00000000-000D-0000-FFFF-FFFF00000000}"/>
  </bookViews>
  <sheets>
    <sheet name="SUIVI PAIEMENT COTISATION" sheetId="1" r:id="rId1"/>
    <sheet name="COTISATION ANTERIEURE PAYEE EN " sheetId="2" r:id="rId2"/>
  </sheets>
  <definedNames>
    <definedName name="_xlnm._FilterDatabase" localSheetId="0" hidden="1">'SUIVI PAIEMENT COTISATION'!$A$1:$AA$115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28" i="1" l="1"/>
  <c r="P114" i="1"/>
  <c r="O114" i="1"/>
  <c r="N114" i="1"/>
  <c r="D7" i="2"/>
  <c r="M114" i="1"/>
  <c r="K114" i="1"/>
  <c r="M131" i="1"/>
  <c r="I115" i="1"/>
  <c r="I114" i="1"/>
  <c r="N118" i="1" l="1"/>
</calcChain>
</file>

<file path=xl/sharedStrings.xml><?xml version="1.0" encoding="utf-8"?>
<sst xmlns="http://schemas.openxmlformats.org/spreadsheetml/2006/main" count="795" uniqueCount="496">
  <si>
    <t>SOCIETE</t>
  </si>
  <si>
    <t>Montant</t>
  </si>
  <si>
    <t>Observation</t>
  </si>
  <si>
    <t>Bordereau de versement N°396478</t>
  </si>
  <si>
    <t xml:space="preserve">COSYMA </t>
  </si>
  <si>
    <t>ASA TARATRA</t>
  </si>
  <si>
    <t xml:space="preserve">CIMELTA </t>
  </si>
  <si>
    <t>72003736 BMOI</t>
  </si>
  <si>
    <t>Cotisation à jour</t>
  </si>
  <si>
    <t>ECE SARL</t>
  </si>
  <si>
    <t xml:space="preserve">ECRS </t>
  </si>
  <si>
    <t>EGEDEC</t>
  </si>
  <si>
    <t>cc 41895185</t>
  </si>
  <si>
    <t>COGECI SARL</t>
  </si>
  <si>
    <t>EMC</t>
  </si>
  <si>
    <t>ETRAD Sarl</t>
  </si>
  <si>
    <t>cotisation à jour</t>
  </si>
  <si>
    <t>FAVIMA</t>
  </si>
  <si>
    <t xml:space="preserve">GENT </t>
  </si>
  <si>
    <t xml:space="preserve">HK SERVICES </t>
  </si>
  <si>
    <t>INNOTECH</t>
  </si>
  <si>
    <t>chèque N° 00000119</t>
  </si>
  <si>
    <t xml:space="preserve">MECAPRO </t>
  </si>
  <si>
    <t xml:space="preserve">METALLIKIT </t>
  </si>
  <si>
    <t>MMP-BTP</t>
  </si>
  <si>
    <t>HYDROTECH SA</t>
  </si>
  <si>
    <t xml:space="preserve">REA </t>
  </si>
  <si>
    <t>04694542 mcb</t>
  </si>
  <si>
    <t>SIBAM</t>
  </si>
  <si>
    <t>par OV en date du 19/01/2024</t>
  </si>
  <si>
    <t>PROFILS PARTITIONS MADAGASACAR (PPM)</t>
  </si>
  <si>
    <t>CHQ N°06779436</t>
  </si>
  <si>
    <t xml:space="preserve">SCB </t>
  </si>
  <si>
    <t>SMATP</t>
  </si>
  <si>
    <t xml:space="preserve">SOBATRA </t>
  </si>
  <si>
    <t>TECHNIHUB</t>
  </si>
  <si>
    <t>chq N° 03935925</t>
  </si>
  <si>
    <t>CHQ N° 03935925</t>
  </si>
  <si>
    <t xml:space="preserve">THERMOCOOL </t>
  </si>
  <si>
    <t>cc 40970220 SG</t>
  </si>
  <si>
    <t>côtisation à jour</t>
  </si>
  <si>
    <t>USER MADAGASCAR</t>
  </si>
  <si>
    <t>Payé en 2024</t>
  </si>
  <si>
    <t xml:space="preserve">ZITAL </t>
  </si>
  <si>
    <t>WATERLINE GBC</t>
  </si>
  <si>
    <t xml:space="preserve">mentionnée sur Relevé bancaire sept 2023 </t>
  </si>
  <si>
    <t>LARION SARL</t>
  </si>
  <si>
    <t>MIRANDAVA SARL</t>
  </si>
  <si>
    <t>SEQUOIA CONSTRUCTION</t>
  </si>
  <si>
    <t>COLAS</t>
  </si>
  <si>
    <t>CHQ N°09336528</t>
  </si>
  <si>
    <t xml:space="preserve">ETEMAD </t>
  </si>
  <si>
    <t xml:space="preserve">SARA &amp; CIE </t>
  </si>
  <si>
    <t>SOMACOPRIM</t>
  </si>
  <si>
    <t>SOGEA SATOM</t>
  </si>
  <si>
    <t>Mentionnée dans le RB sept 2023 bfv</t>
  </si>
  <si>
    <t>STMB</t>
  </si>
  <si>
    <t xml:space="preserve">BRACE SARL </t>
  </si>
  <si>
    <t>BRG BUREAU DE REFERENCE GEOTECHNIQUE</t>
  </si>
  <si>
    <t>CHQ N° 6222226</t>
  </si>
  <si>
    <t>COTISATION A JOUR, Adhésion en 2023</t>
  </si>
  <si>
    <t>COMAC</t>
  </si>
  <si>
    <t>chq N° 04732100</t>
  </si>
  <si>
    <t>GEOMAP</t>
  </si>
  <si>
    <t>GRACCHUS OI</t>
  </si>
  <si>
    <t>GEO ECO CONSULT</t>
  </si>
  <si>
    <t>ILS TOPO AFRIQUE</t>
  </si>
  <si>
    <t>CHQ N°CC 41895092</t>
  </si>
  <si>
    <t>LAGEOTEC</t>
  </si>
  <si>
    <t>LNTPB</t>
  </si>
  <si>
    <t>CHQ N°CC 41578823</t>
  </si>
  <si>
    <t>MAETTRA</t>
  </si>
  <si>
    <t>MIHARISOA DESIGN CONSTRUCTION</t>
  </si>
  <si>
    <t>NOMADE INGENIERIE</t>
  </si>
  <si>
    <t>SOCOTEC</t>
  </si>
  <si>
    <t xml:space="preserve">RINCENT SIGMA </t>
  </si>
  <si>
    <t>SERT</t>
  </si>
  <si>
    <t>SMAI</t>
  </si>
  <si>
    <t xml:space="preserve">ABC </t>
  </si>
  <si>
    <t>AQUAMAD</t>
  </si>
  <si>
    <t>AL ABBASS</t>
  </si>
  <si>
    <t xml:space="preserve">BATISTOCK </t>
  </si>
  <si>
    <t>CHQ N°06038139</t>
  </si>
  <si>
    <t>BRICO KOYTCHA</t>
  </si>
  <si>
    <t>ALPHA CIMENT SA (CEMENTIS)</t>
  </si>
  <si>
    <t>GASYPLAST</t>
  </si>
  <si>
    <t>cc 00000093</t>
  </si>
  <si>
    <t>GTD LOGISTICS</t>
  </si>
  <si>
    <t>CHQ N°6688930</t>
  </si>
  <si>
    <t xml:space="preserve">HENRI FRAISE </t>
  </si>
  <si>
    <t>virt le 26/04/2024</t>
  </si>
  <si>
    <t>INERGY</t>
  </si>
  <si>
    <t>CHQ N° 71304777</t>
  </si>
  <si>
    <t>Cotisation à jour, Adhésion en 2023</t>
  </si>
  <si>
    <t>LA PLANTATION BEMASOANDRO</t>
  </si>
  <si>
    <t>SANIFER</t>
  </si>
  <si>
    <t>UBP</t>
  </si>
  <si>
    <t xml:space="preserve">ELEC PLUS </t>
  </si>
  <si>
    <t>PROGRANIT</t>
  </si>
  <si>
    <t>POLYTECH CEIM</t>
  </si>
  <si>
    <t>cotisation depuis 2022 jusqu'en 2024 réglé en 2024</t>
  </si>
  <si>
    <t>STIMCO</t>
  </si>
  <si>
    <t xml:space="preserve">SOMALAVAL </t>
  </si>
  <si>
    <t>TEKNET GROUP</t>
  </si>
  <si>
    <t xml:space="preserve">virement </t>
  </si>
  <si>
    <t>TETRAFOR</t>
  </si>
  <si>
    <t>TRIUMPH INTERNATIONAL</t>
  </si>
  <si>
    <t xml:space="preserve">MATERAUTO </t>
  </si>
  <si>
    <t xml:space="preserve">OCEAN TRADE </t>
  </si>
  <si>
    <t>CHQ N°01077180</t>
  </si>
  <si>
    <t>JOCKER GRAPHICS</t>
  </si>
  <si>
    <t>GENOX</t>
  </si>
  <si>
    <t>MADECASSE</t>
  </si>
  <si>
    <t>ALMAZ</t>
  </si>
  <si>
    <t>Cotisation impayée depuis 2020. Mtt: 200 000 Ar</t>
  </si>
  <si>
    <t>Adhésion en 2024 (cotisation à jour)</t>
  </si>
  <si>
    <t>cotisation impayé depuis 2020. Montant cotisation: 200 000 Ar</t>
  </si>
  <si>
    <t>cotisation impayée depuis 2021. Montant cotisation: 1 000 000</t>
  </si>
  <si>
    <t>cotisation impayée depuis 2019. Montant: 400 000Ar</t>
  </si>
  <si>
    <t>cotisation impayée depuis 2021. Montant :1 000 000 Ar</t>
  </si>
  <si>
    <t>cotisation impayée depuis 2018. Montant: 200 000Ar</t>
  </si>
  <si>
    <t>NDD 2023 à envoyer: 400 000Ar</t>
  </si>
  <si>
    <t>Cotisation impayée depuis 2020. Montant: 1 000 000 Ar</t>
  </si>
  <si>
    <t>CHQ N° 09506720</t>
  </si>
  <si>
    <t>MONTANT</t>
  </si>
  <si>
    <t>REFERENCE</t>
  </si>
  <si>
    <t>OBSERVATION</t>
  </si>
  <si>
    <t>facture à envoyer 2023 et 2024. Montant: 400 000</t>
  </si>
  <si>
    <t>NDD 2023 à envoyer: 1 000 000Ar</t>
  </si>
  <si>
    <t>Facture 2023 à envoyer: 1 000 000 Ar</t>
  </si>
  <si>
    <t>AIDBAT TRADING</t>
  </si>
  <si>
    <t>S2PC</t>
  </si>
  <si>
    <t>L'ATELIER MALAGASY</t>
  </si>
  <si>
    <t>cotisation impayée depuis 2017. Montant: 400 000Ar</t>
  </si>
  <si>
    <t>COTISATION 2024</t>
  </si>
  <si>
    <t>Référence</t>
  </si>
  <si>
    <t>Cotisation à jour (cotisation à partir de l'année 2020 payée en 2024)</t>
  </si>
  <si>
    <t>Cotisation à jour ( 2022, 2023 et 2024 payée en 2024)</t>
  </si>
  <si>
    <t>cotisation à jour (2022,2023,2024 payée en 2024)</t>
  </si>
  <si>
    <t>Adhésion en 2024: cotisation à jour</t>
  </si>
  <si>
    <t>ENTREPRISE JJ</t>
  </si>
  <si>
    <t>Cotisation à jour 2023 payé en 2024</t>
  </si>
  <si>
    <t>OUVRAGES ET TRAVAUX INDUSTRIELS (OTI)</t>
  </si>
  <si>
    <t>SOCIETE POUR L'INDUSTRIE DU BOIS ET CONSTRUCTION</t>
  </si>
  <si>
    <t>NDD 2023 à envoyer, 2022 payé en janvier 2023, montant: 200 000Ar</t>
  </si>
  <si>
    <t>Reste à payer</t>
  </si>
  <si>
    <t>CHQ N°2239</t>
  </si>
  <si>
    <t>CHQ N°2238</t>
  </si>
  <si>
    <t>ELETTRICA</t>
  </si>
  <si>
    <t>EECGC</t>
  </si>
  <si>
    <t>CHQ N° 09873624</t>
  </si>
  <si>
    <t>CHQ N°09994295</t>
  </si>
  <si>
    <t>CHQ N°04544166</t>
  </si>
  <si>
    <t>EDL MCB</t>
  </si>
  <si>
    <t>MADALARME</t>
  </si>
  <si>
    <t>cotisation 2023</t>
  </si>
  <si>
    <t>COTISATION NON PAYEE DEPUIS 2022 (NDD envoyées le 17/07/2024)</t>
  </si>
  <si>
    <t>TOTAL</t>
  </si>
  <si>
    <t>COTISATION 2022</t>
  </si>
  <si>
    <t>payé en 2024</t>
  </si>
  <si>
    <t>SEEM</t>
  </si>
  <si>
    <t>SMTP</t>
  </si>
  <si>
    <t>payé le 18/07/2024</t>
  </si>
  <si>
    <t>virement le 02/05/2024</t>
  </si>
  <si>
    <t>Virement le 10/05/2024</t>
  </si>
  <si>
    <t>virement le 10/05/2024</t>
  </si>
  <si>
    <t>versement ESPECE LE  08/06/22</t>
  </si>
  <si>
    <t>VIREMENT LE 12/12/2022</t>
  </si>
  <si>
    <t>COTISATION 2021</t>
  </si>
  <si>
    <t>Virement le 01/01/2021</t>
  </si>
  <si>
    <t>virement le 26/01/2022</t>
  </si>
  <si>
    <t>Virement le 30/10/2023</t>
  </si>
  <si>
    <t>Cotisation 2022 et 2023 payé en 2023</t>
  </si>
  <si>
    <t>OV payé en date du 07/01/2022</t>
  </si>
  <si>
    <t>par OV en date du 26/01/2023</t>
  </si>
  <si>
    <t>Virement le 20/12/2021</t>
  </si>
  <si>
    <t>CHQ N°00003385</t>
  </si>
  <si>
    <t>Virement le 28/12/2021</t>
  </si>
  <si>
    <t>chq n° 00116363</t>
  </si>
  <si>
    <t>cc 40647655</t>
  </si>
  <si>
    <t>chq n°17139650 DU 05/07/2022</t>
  </si>
  <si>
    <t>DATE BANQUE: 19/12/2022</t>
  </si>
  <si>
    <t>CC 41512864</t>
  </si>
  <si>
    <t>Virement le 16/01/2024</t>
  </si>
  <si>
    <t>Virement le 19/01/2024</t>
  </si>
  <si>
    <t>Virement le 15/02/2024</t>
  </si>
  <si>
    <t>2237/ virement le 15/02/2024</t>
  </si>
  <si>
    <t>cotisation à jour ( 2021, 2022 et 2023 payée en 2024)</t>
  </si>
  <si>
    <t>Virement le 21/02/2024</t>
  </si>
  <si>
    <t>CHQ N° 00000134</t>
  </si>
  <si>
    <t>Virement le 08/03/2024</t>
  </si>
  <si>
    <t>Virement le 25/07/2024</t>
  </si>
  <si>
    <t>Cotisation à jour: cotisation 2020, 2021 , 2022 et 2023 payé le 25/07/2024 par virement</t>
  </si>
  <si>
    <t>CHQ N°00000924</t>
  </si>
  <si>
    <t>Versement espèce le 14/06/2021</t>
  </si>
  <si>
    <t>Virement le 09/08/2022</t>
  </si>
  <si>
    <t xml:space="preserve"> virement le 02/05/2024</t>
  </si>
  <si>
    <t>virement le 03/05/2024</t>
  </si>
  <si>
    <t>CHQ N°72988031</t>
  </si>
  <si>
    <t>Cotisation à jour: cotisation 2020, 2021 , 2022 et 2023 payé en 2024</t>
  </si>
  <si>
    <t>CHQ N°73074555</t>
  </si>
  <si>
    <t>2018 à 2021 payées. Montant 400 000Ar</t>
  </si>
  <si>
    <t>Facture à envoyer 2023 et 2024/ Montant 200 000Ar</t>
  </si>
  <si>
    <t>facture 2022, 2023 à envoyer/ Montant 400 000Ar</t>
  </si>
  <si>
    <t>Virement le 18/06/2022</t>
  </si>
  <si>
    <t>Virement le 23/06/2022</t>
  </si>
  <si>
    <t>Virement le 12/07/2022</t>
  </si>
  <si>
    <t>Virement le 25/07/2022</t>
  </si>
  <si>
    <t>Versement espèce le 27/07/2022</t>
  </si>
  <si>
    <t>Sans nom de société, affiché dans le Relevé bancaire</t>
  </si>
  <si>
    <t>Virement le 27/01/2023</t>
  </si>
  <si>
    <t>Facture 2023 et 2024 à envoyer/ Montant: 200 000Ar</t>
  </si>
  <si>
    <t>NDD à envoyer 2023; Montant: 400 000</t>
  </si>
  <si>
    <t>facture à envoyer 2022, 2023 : 1 000 000</t>
  </si>
  <si>
    <t>NDD 2022, 2023 à envoyer: 200 000</t>
  </si>
  <si>
    <t>Facture 2023 à envoyer; adhésion 2023: 400 000Ar</t>
  </si>
  <si>
    <t>Total payé en 2023 et 2024</t>
  </si>
  <si>
    <t>Total payé en 2023</t>
  </si>
  <si>
    <t>TOTAL NDD</t>
  </si>
  <si>
    <t>IMPAYEE DEPUIS 2022 SELON LEUR DEMANDE DANS LE MAIL</t>
  </si>
  <si>
    <t>Cotisations antérieures payées en 2023</t>
  </si>
  <si>
    <t>PPM</t>
  </si>
  <si>
    <t>Total</t>
  </si>
  <si>
    <t>2021 et 2022 payés en 2023</t>
  </si>
  <si>
    <t>2022 PAYE EN 2023</t>
  </si>
  <si>
    <t>CEMENTIS</t>
  </si>
  <si>
    <t>RESTE A PAYER 2023</t>
  </si>
  <si>
    <t>Cotisations à recouvrer des années précédentes
jusqu'en 2022</t>
  </si>
  <si>
    <t>Montant reçu après relances</t>
  </si>
  <si>
    <t>CHQ N°04717557</t>
  </si>
  <si>
    <t>PAYE EN 2024</t>
  </si>
  <si>
    <t>CHQ N°73074657 DU 28/08/2024</t>
  </si>
  <si>
    <t>PAYEE LE 28/08/2024</t>
  </si>
  <si>
    <t>CC 40648490</t>
  </si>
  <si>
    <t>cc 41513859</t>
  </si>
  <si>
    <t>cotisation à jour, reçu le 02 octobre 2024</t>
  </si>
  <si>
    <t>cotisation à jour. Chèque reçu le 02 Octobre 2024</t>
  </si>
  <si>
    <t>CHQ N°00000023 le 05/09/23</t>
  </si>
  <si>
    <t>CC LE    70914703  LE 30/01/2023</t>
  </si>
  <si>
    <t>CHQ N° 06331837</t>
  </si>
  <si>
    <t>cotisation à jour; chèque reçu le 14/10/2024</t>
  </si>
  <si>
    <t>CC39405918</t>
  </si>
  <si>
    <t>Virement le mois d'octobre 2024</t>
  </si>
  <si>
    <t>Virement PJ dans le mail (payée le janv 2023)</t>
  </si>
  <si>
    <t>CHQ N°06940648 du 15/10/2023</t>
  </si>
  <si>
    <t>chq n°06940648 DU 15/10/2024</t>
  </si>
  <si>
    <t>COTISATION A JOUR</t>
  </si>
  <si>
    <t>chq N°06222595 du 15/10/2024</t>
  </si>
  <si>
    <t>71605782 payé le janv 2023</t>
  </si>
  <si>
    <t>170 PAYE LE 20/07/2022</t>
  </si>
  <si>
    <t>7230194 le 21/12/2022</t>
  </si>
  <si>
    <t>CHQ 39405976 DU 06/01/2023</t>
  </si>
  <si>
    <t>cc 00000145 du 29/10/2024</t>
  </si>
  <si>
    <t>cotisation 2021, 2022, 2024 payée en 2024</t>
  </si>
  <si>
    <t>cc 00000145</t>
  </si>
  <si>
    <t>cotisation 2020 et 2021 payée en 2022
virement le 08/07/2022
Cotisation 2022 payé par OV le 27/12/2023</t>
  </si>
  <si>
    <t>NDD 2023 et 2024 à envoyer</t>
  </si>
  <si>
    <t>COTISATION 2022, 2023, 2024 payé en 2024
COTISATION A JOUR</t>
  </si>
  <si>
    <t>Cotisation à jour : 2023 et 2024 payée en 2024</t>
  </si>
  <si>
    <t>versement espèce le 18/11/2023</t>
  </si>
  <si>
    <t>payée en 2024</t>
  </si>
  <si>
    <t>Cotisation à jour: cotisation 2023 payée en 2024</t>
  </si>
  <si>
    <t>Virement le mois de novembre 2024</t>
  </si>
  <si>
    <t>paiement en espèce le 22/11/2024</t>
  </si>
  <si>
    <t>facture à envoyer 2024. Montant 200 000Ar</t>
  </si>
  <si>
    <t>chq n°00000248 du 22/11/2024</t>
  </si>
  <si>
    <t>chq n° 07340239</t>
  </si>
  <si>
    <t>CC 40971029</t>
  </si>
  <si>
    <t>2024 payée en Déc 2024</t>
  </si>
  <si>
    <t>COTISATION 2025</t>
  </si>
  <si>
    <t>facture à envoyer 2023 et 2024. NDD ENVOYEE
cotisation 2018 à 2022 payées en 2024
cotisation 2023 payée en 2025</t>
  </si>
  <si>
    <t>CHQ sg mada N°00000356</t>
  </si>
  <si>
    <t>à jour</t>
  </si>
  <si>
    <t>ACTIVE 101</t>
  </si>
  <si>
    <t>Total à payer en 2024</t>
  </si>
  <si>
    <t>2023 et 2024 impayées</t>
  </si>
  <si>
    <t>2024 impayé</t>
  </si>
  <si>
    <t>impayés depuis 2022</t>
  </si>
  <si>
    <t>impayés depuis 2020</t>
  </si>
  <si>
    <t>cotisation à jour (2021, 2022, 2024 payées en 2024) / COTISATION 2023 PAYEE EN 2024</t>
  </si>
  <si>
    <t>chq n°cc 39406044: payé en 2025</t>
  </si>
  <si>
    <t>impayées depuis 2017</t>
  </si>
  <si>
    <t>impayées depuis 2022</t>
  </si>
  <si>
    <t>payé le 25/06/2024
cotisation à jour</t>
  </si>
  <si>
    <t>impayées depuis 2020</t>
  </si>
  <si>
    <t>impayées depuis 2021</t>
  </si>
  <si>
    <t>impayées depuis 2019</t>
  </si>
  <si>
    <t>cotisation 2024 payée le 29/11/2024
cotisation à jour</t>
  </si>
  <si>
    <t>NDD 2024 DÉJÀ ENVOYE EN ATTENTE DE REGLEMENT
impayé 2024</t>
  </si>
  <si>
    <t>cotisation impayé depuis 2021</t>
  </si>
  <si>
    <t>2023 et 2024 impayées (facture envoyée)</t>
  </si>
  <si>
    <t>impayées depuis 2018</t>
  </si>
  <si>
    <t>Cotisation impayée depuis 2020</t>
  </si>
  <si>
    <t>2024 impayée</t>
  </si>
  <si>
    <t>impayée depuis 2020</t>
  </si>
  <si>
    <t>ICCBP</t>
  </si>
  <si>
    <t>LOOWATT</t>
  </si>
  <si>
    <t>CHQ N°05053665</t>
  </si>
  <si>
    <t>payé le 12/05/2025</t>
  </si>
  <si>
    <t>SIPE</t>
  </si>
  <si>
    <t>CHQ N°04987658</t>
  </si>
  <si>
    <t>HAYAT BTP</t>
  </si>
  <si>
    <t>Virement par la SOCIETE Y TRADING le 12/05/2025</t>
  </si>
  <si>
    <t>PHAOS SARL</t>
  </si>
  <si>
    <t>virement le 09/05/2025</t>
  </si>
  <si>
    <t>CHQ N°73592053 du 19/05/2025</t>
  </si>
  <si>
    <t>MIM</t>
  </si>
  <si>
    <t>à jour, cotisation 2024 payée par VIRT le 21/03/2025</t>
  </si>
  <si>
    <t>cotisation impayé depuis 2020, virement 200 000Ar le 27 janv 2025.
Reste à payer: 800 000Ar</t>
  </si>
  <si>
    <t>EN PHASE ELECTRICITE</t>
  </si>
  <si>
    <t>VIREMENT LE 19/05/2025</t>
  </si>
  <si>
    <t>A jour</t>
  </si>
  <si>
    <t>HAZOALL</t>
  </si>
  <si>
    <t>Virement le 10/06/2025</t>
  </si>
  <si>
    <r>
      <t>2023 et 2024 impayées: Virement le 30 mai 2025 d'un montant de 400 000 =&gt;</t>
    </r>
    <r>
      <rPr>
        <b/>
        <sz val="11"/>
        <color theme="1"/>
        <rFont val="Calibri"/>
        <family val="2"/>
        <scheme val="minor"/>
      </rPr>
      <t xml:space="preserve"> A JOUR</t>
    </r>
  </si>
  <si>
    <t>NDD 2025 A ETABLIR</t>
  </si>
  <si>
    <t>CC 41514542</t>
  </si>
  <si>
    <t>Ajour</t>
  </si>
  <si>
    <t>cotisation 2024 et 2025 réglé le 27/06/2025 par chèque N°39598423</t>
  </si>
  <si>
    <t xml:space="preserve">cotisation 2024 et 2025 réglé le 27/06/2025 par chèque N°39598423 </t>
  </si>
  <si>
    <t xml:space="preserve">chèque N°39598423 </t>
  </si>
  <si>
    <t>payée en février</t>
  </si>
  <si>
    <t>COTISATION 2026</t>
  </si>
  <si>
    <t>CHQ N°08064362</t>
  </si>
  <si>
    <t>Nom de société différente mentionnée dans le chèque BNI, BMOI et BOA. La facture a déjà été envoyée et ABC a transmis un chèque. et après confirmation que c'est toujours ABC le nom SMOI , son paiement mihoatra dia tonga dia natao cotisation 2026</t>
  </si>
  <si>
    <t>BGFI BANK: CHQ N° 01172693</t>
  </si>
  <si>
    <t>BOA CHQ N° 00004367</t>
  </si>
  <si>
    <t>NDD 2025 envoyée par mail</t>
  </si>
  <si>
    <t>CHQ N°09994617</t>
  </si>
  <si>
    <t>CHQ N°09873930</t>
  </si>
  <si>
    <t>CHQ N°04545430</t>
  </si>
  <si>
    <t xml:space="preserve">à jour </t>
  </si>
  <si>
    <t>6331969 du 30/06/2025, chèque reçu le 16/07/2025</t>
  </si>
  <si>
    <t>cotisation 2022, 2023, 2024 payée le 16/07/2025</t>
  </si>
  <si>
    <t>7273157 du 14/07/2025</t>
  </si>
  <si>
    <t>virement 16 juillet 2025</t>
  </si>
  <si>
    <t>CHQ N°09519401 le 06/12/2024</t>
  </si>
  <si>
    <t>CHQ N°72293200</t>
  </si>
  <si>
    <t>Cotisation 2024 payée le 30/07/2025</t>
  </si>
  <si>
    <t>Virement le 29/07/2025</t>
  </si>
  <si>
    <t>ROYAL BUILD'ART</t>
  </si>
  <si>
    <t>versement espèce le 14/08/2025</t>
  </si>
  <si>
    <t>PAYE LE 19/08/2025</t>
  </si>
  <si>
    <t>A JOUR LE 19/08/2025</t>
  </si>
  <si>
    <t>CHQ N° 72917525, payé le 19/08/2025</t>
  </si>
  <si>
    <t>à jour le 19/08/2025</t>
  </si>
  <si>
    <t>MAUVILAC</t>
  </si>
  <si>
    <t>Virement le 19/08/2025</t>
  </si>
  <si>
    <t>Adhésion juillet 2025: cotisation à jour</t>
  </si>
  <si>
    <t>CHQ N°CC 41844181 DU 20/082025</t>
  </si>
  <si>
    <t>cotisation à jour le 20/08/2025</t>
  </si>
  <si>
    <t>CHQ N°05100085</t>
  </si>
  <si>
    <t>A JOUR LE 27/08/2025</t>
  </si>
  <si>
    <t>CHQ N°05100086 du 26 Août 2025</t>
  </si>
  <si>
    <t>OV du 16/09/25</t>
  </si>
  <si>
    <t>NDD 2023 réglé par OV du 16/09/25</t>
  </si>
  <si>
    <t>NDD 2024 réglé par OV du 16/09/25</t>
  </si>
  <si>
    <t>NDD 2025 réglé par OV du 16/09/25</t>
  </si>
  <si>
    <t>SG MADA CHQ N°CC 39766755</t>
  </si>
  <si>
    <t>Virement le 17/09/2025</t>
  </si>
  <si>
    <t>BANKY FIRST: CHQ N°01133331 du 24/09/2025</t>
  </si>
  <si>
    <t>MCB CHQ N°0525628</t>
  </si>
  <si>
    <t>OV le 30 octobre 2025</t>
  </si>
  <si>
    <t>ID RENTAL</t>
  </si>
  <si>
    <t>CHQ N°08474279 du 07/10/2025</t>
  </si>
  <si>
    <t>Virement le 16/10/2025</t>
  </si>
  <si>
    <t>CHQ N°09832511 (1500000: cotisation et règlement facture insertion visuel dans les bloc-notes SEBTP)</t>
  </si>
  <si>
    <t>LANDIS NETWORKS</t>
  </si>
  <si>
    <t>NMC MSO SOPREMA</t>
  </si>
  <si>
    <t>CHQ N°71235316</t>
  </si>
  <si>
    <t>à jour le 24/10/2025</t>
  </si>
  <si>
    <t>CHQ N°00000041 du 24/10/2025</t>
  </si>
  <si>
    <t>à jour
Adhésion (Octobre 2025) – Cotisation annuelle : 1 000 000 Ar.
Cotisation due : 500 000 Ar (adhésion en fin d’exercice, 3 mois restants), demande accordée</t>
  </si>
  <si>
    <t>à jour le 03/11/2025</t>
  </si>
  <si>
    <t>virement</t>
  </si>
  <si>
    <t>CHQ N°CC 39731418</t>
  </si>
  <si>
    <t>A jour: adhésion NOV 2025</t>
  </si>
  <si>
    <t>CHQ N° CC 41895217</t>
  </si>
  <si>
    <t>CHQ N°BR 40971660</t>
  </si>
  <si>
    <t>CH N°73518243</t>
  </si>
  <si>
    <t>à jour le 29/10/2025</t>
  </si>
  <si>
    <t>ATELIER DES FRERES</t>
  </si>
  <si>
    <t>Adhésion Novembre 2025</t>
  </si>
  <si>
    <t>chq BOA N°09959656</t>
  </si>
  <si>
    <t>NDD 2025 envoyée par mail: relance fait le 03 déc</t>
  </si>
  <si>
    <t>virement le 03/11/2025</t>
  </si>
  <si>
    <t>NDD ENVOYEE LE 05/12/2025</t>
  </si>
  <si>
    <t>ESPECE le 04/12/2025</t>
  </si>
  <si>
    <t>Relance fait le 05/12/2025 pour le règlement des cotisations 2024 et 2025</t>
  </si>
  <si>
    <t>Facture établie, à envoyer le 08/12/2025</t>
  </si>
  <si>
    <t>Relance fait le 05/12/2025 pour le règlement des cotisations depuis 2022</t>
  </si>
  <si>
    <t>RAPH &amp; CO</t>
  </si>
  <si>
    <t>FAC 2023, 2024, 2025 ETABLIES, à envoyer le 11/12/2025</t>
  </si>
  <si>
    <t>FAC 2020 à 2025 ETABLIES, à envoyer le 11/12/2025</t>
  </si>
  <si>
    <t>CHQ N°07344857 du 02/12/2025 mais reçu le 11/12/2025</t>
  </si>
  <si>
    <t>à jour le 11/12/2025</t>
  </si>
  <si>
    <t>jour le 11/12/2025</t>
  </si>
  <si>
    <t>à jour  (cotisations 2021 à 2025 payées le 11/12/2025</t>
  </si>
  <si>
    <t xml:space="preserve">CHQ N°74119053 </t>
  </si>
  <si>
    <t>à jour le 16/11/2025</t>
  </si>
  <si>
    <t>2022 à 2025 payées le 16/12/2025</t>
  </si>
  <si>
    <t>à jour: 2022 à 2025 payées le 16/12/2025</t>
  </si>
  <si>
    <t>FAC ETABLIES, envoyées par mail, version physique en attente ( problème coursier)</t>
  </si>
  <si>
    <t>virement 19 déc 2025</t>
  </si>
  <si>
    <t>à jour le 19/12/2025</t>
  </si>
  <si>
    <t>virement le 19/12/2025</t>
  </si>
  <si>
    <t>CHQ N° BR 40134394</t>
  </si>
  <si>
    <t>A jour le 29/12/2025</t>
  </si>
  <si>
    <t>chq n°BR 40134394</t>
  </si>
  <si>
    <t>FAC 2023, 2024, 2025 ETABLIES</t>
  </si>
  <si>
    <t>FAC 2024, 2025 ETABLIES</t>
  </si>
  <si>
    <t>fac 2025 etablie</t>
  </si>
  <si>
    <t>fac etablie</t>
  </si>
  <si>
    <t>FAC ENVOYEE le 29 sept, rappel fait le 29 décembre 2025</t>
  </si>
  <si>
    <t>fac envoyée, rappel fait le 29/12/2025</t>
  </si>
  <si>
    <t>facture envoyée, impayée à ce jour, injoignable sur tél</t>
  </si>
  <si>
    <t>impayées depuis 2018 , téléphone injoignable</t>
  </si>
  <si>
    <t>FAC 2021 à 2025 ETABLIES</t>
  </si>
  <si>
    <t>FAC 2022 à 2025 ETABLIES</t>
  </si>
  <si>
    <t>FAC 2024 ENVOYEE MAIS IMPAYEE, FAC 2025 ETABLIE</t>
  </si>
  <si>
    <t>virement le 05/01/2026</t>
  </si>
  <si>
    <t>à jour le 05/01/2026</t>
  </si>
  <si>
    <t>virement le 06/01/2026</t>
  </si>
  <si>
    <t>cotisation à jour le 06/01/2026</t>
  </si>
  <si>
    <t>CHQ N°00657551</t>
  </si>
  <si>
    <t>A jour le 06/01/2026</t>
  </si>
  <si>
    <t>CHQ N°01939945</t>
  </si>
  <si>
    <t>A jour le 07/01/2026</t>
  </si>
  <si>
    <t>à jour le 12/01/2026</t>
  </si>
  <si>
    <t>CHQ N°74232522</t>
  </si>
  <si>
    <t>virement le 09/01/2026</t>
  </si>
  <si>
    <t>à jour le 09/01/2026</t>
  </si>
  <si>
    <t>Chèque N°73721260</t>
  </si>
  <si>
    <t>à jour le 15/01/2026</t>
  </si>
  <si>
    <t>chq N°73721260</t>
  </si>
  <si>
    <t>à jour le 15/01/2026: 2023, 2024, 2025 payées en 2026</t>
  </si>
  <si>
    <t>Virement le 15/01/2026</t>
  </si>
  <si>
    <t>chq n°74196300</t>
  </si>
  <si>
    <t>à jour le 16/01/26</t>
  </si>
  <si>
    <t>à jour le 16/01/2026</t>
  </si>
  <si>
    <t>CHQ N° 00000202</t>
  </si>
  <si>
    <t>à jour LE 20/01/2026</t>
  </si>
  <si>
    <t>Virement le 21/01/2026</t>
  </si>
  <si>
    <t>à jour le 21/01/2026</t>
  </si>
  <si>
    <t>virement le 21/01/26</t>
  </si>
  <si>
    <t>virement le 21/01/2026</t>
  </si>
  <si>
    <t>CHQ N°08444118</t>
  </si>
  <si>
    <t>A jour le 23/01/2026</t>
  </si>
  <si>
    <t>Virement leb23/01/2026</t>
  </si>
  <si>
    <t>à jour le 23/01/2026</t>
  </si>
  <si>
    <t>virement le 23/01/2026</t>
  </si>
  <si>
    <t>Virement le 23/01/2026</t>
  </si>
  <si>
    <t>2025 et 2026 payées en février 2025</t>
  </si>
  <si>
    <t>CHQ N°05284345</t>
  </si>
  <si>
    <t>à jour le 30/01/2026</t>
  </si>
  <si>
    <t>A jour le 30/01/2026</t>
  </si>
  <si>
    <t>virement le 21/01/2026 (SOCIETE POUR L'INDUSTRIE DU BOIS ET CONSTRUCTION)</t>
  </si>
  <si>
    <t>à jour le 04/02/2026</t>
  </si>
  <si>
    <t>virement le 21/01/2026 (SOCIETE DU BOIS ET DE L'INDUSTRIE)</t>
  </si>
  <si>
    <t>chq N°06947596</t>
  </si>
  <si>
    <t>à jour le 17/02/2026</t>
  </si>
  <si>
    <t>à jour le  17/02/2026</t>
  </si>
  <si>
    <t>chq N°73698221</t>
  </si>
  <si>
    <t>à jour le 06/02/2026</t>
  </si>
  <si>
    <t>CHQ N°00190107</t>
  </si>
  <si>
    <t>A jour le 18/02/2026</t>
  </si>
  <si>
    <t>cotisation impayée depuis 2022: 400 000Ar</t>
  </si>
  <si>
    <t>chq N°BR 41106299</t>
  </si>
  <si>
    <t>A jour le 14/01/26</t>
  </si>
  <si>
    <t>à jour le 14/01/2026</t>
  </si>
  <si>
    <t>RETRAIT MEMBRE EN 2023</t>
  </si>
  <si>
    <t>2021, 2022 PAYEES EN 2026, RETRAIT MEMBRE EN 2023</t>
  </si>
  <si>
    <t>chq N°73791884</t>
  </si>
  <si>
    <t>à jour le 13/02/2026</t>
  </si>
  <si>
    <t>virement le 16/02/2025</t>
  </si>
  <si>
    <t>à jour le 16/02/2025</t>
  </si>
  <si>
    <t>NORMA SERVICE</t>
  </si>
  <si>
    <t>Chèque N°BR 41332603</t>
  </si>
  <si>
    <t>Adhésion 2026</t>
  </si>
  <si>
    <t>virement le 09/02/2026</t>
  </si>
  <si>
    <t>virement le 09/02/26</t>
  </si>
  <si>
    <t>à jour le 09/02/2026</t>
  </si>
  <si>
    <t>à jour le 09/02/26: cotisation 2022, 2023, 2024, 2025 payées en 2026</t>
  </si>
  <si>
    <t>Virement le 04/03/26</t>
  </si>
  <si>
    <t>RHM Ingénierie</t>
  </si>
  <si>
    <t>virement le 06/03/26</t>
  </si>
  <si>
    <t>NDD 2024 à 2026 envoyées: virement reçu 3.000.000 du 16/02/26</t>
  </si>
  <si>
    <t>FAC à envoyer le 29 déc 2025, mail envoyé: chèque 190107 de 400,000ar payé en 2026</t>
  </si>
  <si>
    <t>STATUT</t>
  </si>
  <si>
    <t>A JOUR</t>
  </si>
  <si>
    <t>IMPAYES</t>
  </si>
  <si>
    <t>A jour le 06/02/2026: chèque retourné impayé</t>
  </si>
  <si>
    <t>NON MEMBRE</t>
  </si>
  <si>
    <t>FAC 2024 2025 ETABLIES: chèque 41572091 du 02/03/26 pour 2.000.000Ar</t>
  </si>
  <si>
    <t>ADHESION</t>
  </si>
  <si>
    <t>EATC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</si>
</sst>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1" xfId="1" applyFont="1" applyBorder="1"/>
    <xf numFmtId="0" fontId="0" fillId="3" borderId="1" xfId="0" applyFill="1" applyBorder="1"/>
    <xf numFmtId="0" fontId="0" fillId="2" borderId="1" xfId="0" applyFill="1" applyBorder="1" applyAlignment="1">
      <alignment wrapText="1"/>
    </xf>
    <xf numFmtId="164" fontId="0" fillId="0" borderId="1" xfId="1" applyFont="1" applyFill="1" applyBorder="1"/>
    <xf numFmtId="164" fontId="0" fillId="2" borderId="1" xfId="1" applyFont="1" applyFill="1" applyBorder="1"/>
    <xf numFmtId="164" fontId="0" fillId="2" borderId="1" xfId="1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4" borderId="1" xfId="0" applyFill="1" applyBorder="1"/>
    <xf numFmtId="164" fontId="0" fillId="4" borderId="1" xfId="1" applyFont="1" applyFill="1" applyBorder="1"/>
    <xf numFmtId="0" fontId="2" fillId="0" borderId="2" xfId="0" applyFont="1" applyBorder="1"/>
    <xf numFmtId="0" fontId="1" fillId="0" borderId="4" xfId="0" applyFont="1" applyBorder="1" applyAlignment="1">
      <alignment horizontal="center"/>
    </xf>
    <xf numFmtId="0" fontId="0" fillId="0" borderId="4" xfId="0" applyBorder="1"/>
    <xf numFmtId="0" fontId="0" fillId="4" borderId="1" xfId="0" applyFill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0" fillId="3" borderId="1" xfId="1" applyFont="1" applyFill="1" applyBorder="1"/>
    <xf numFmtId="164" fontId="0" fillId="0" borderId="1" xfId="1" applyFont="1" applyBorder="1" applyAlignment="1">
      <alignment horizontal="center"/>
    </xf>
    <xf numFmtId="164" fontId="0" fillId="0" borderId="4" xfId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/>
    </xf>
    <xf numFmtId="165" fontId="0" fillId="3" borderId="1" xfId="1" applyNumberFormat="1" applyFont="1" applyFill="1" applyBorder="1"/>
    <xf numFmtId="165" fontId="0" fillId="0" borderId="1" xfId="1" applyNumberFormat="1" applyFont="1" applyBorder="1"/>
    <xf numFmtId="165" fontId="0" fillId="2" borderId="1" xfId="1" applyNumberFormat="1" applyFont="1" applyFill="1" applyBorder="1"/>
    <xf numFmtId="165" fontId="0" fillId="0" borderId="1" xfId="1" applyNumberFormat="1" applyFont="1" applyFill="1" applyBorder="1"/>
    <xf numFmtId="165" fontId="0" fillId="4" borderId="1" xfId="1" applyNumberFormat="1" applyFont="1" applyFill="1" applyBorder="1"/>
    <xf numFmtId="0" fontId="4" fillId="0" borderId="1" xfId="0" applyFont="1" applyBorder="1"/>
    <xf numFmtId="0" fontId="0" fillId="0" borderId="1" xfId="1" applyNumberFormat="1" applyFont="1" applyFill="1" applyBorder="1"/>
    <xf numFmtId="164" fontId="0" fillId="0" borderId="4" xfId="1" applyFont="1" applyFill="1" applyBorder="1"/>
    <xf numFmtId="0" fontId="0" fillId="0" borderId="1" xfId="0" applyBorder="1" applyAlignment="1">
      <alignment horizontal="right"/>
    </xf>
    <xf numFmtId="164" fontId="0" fillId="0" borderId="0" xfId="1" applyFont="1"/>
    <xf numFmtId="164" fontId="0" fillId="0" borderId="2" xfId="1" applyFont="1" applyBorder="1"/>
    <xf numFmtId="0" fontId="0" fillId="0" borderId="13" xfId="0" applyBorder="1"/>
    <xf numFmtId="164" fontId="2" fillId="0" borderId="12" xfId="0" applyNumberFormat="1" applyFont="1" applyBorder="1"/>
    <xf numFmtId="164" fontId="0" fillId="0" borderId="0" xfId="0" applyNumberFormat="1"/>
    <xf numFmtId="0" fontId="0" fillId="0" borderId="15" xfId="0" applyBorder="1"/>
    <xf numFmtId="164" fontId="0" fillId="5" borderId="1" xfId="1" applyFont="1" applyFill="1" applyBorder="1"/>
    <xf numFmtId="164" fontId="0" fillId="5" borderId="14" xfId="1" applyFont="1" applyFill="1" applyBorder="1"/>
    <xf numFmtId="164" fontId="1" fillId="0" borderId="13" xfId="1" applyFont="1" applyBorder="1"/>
    <xf numFmtId="0" fontId="2" fillId="0" borderId="3" xfId="0" applyFont="1" applyBorder="1" applyAlignment="1">
      <alignment horizontal="center" wrapText="1"/>
    </xf>
    <xf numFmtId="164" fontId="1" fillId="0" borderId="1" xfId="0" applyNumberFormat="1" applyFont="1" applyBorder="1"/>
    <xf numFmtId="0" fontId="1" fillId="0" borderId="12" xfId="0" applyFont="1" applyBorder="1"/>
    <xf numFmtId="164" fontId="0" fillId="0" borderId="14" xfId="1" applyFont="1" applyBorder="1"/>
    <xf numFmtId="164" fontId="1" fillId="0" borderId="12" xfId="1" applyFont="1" applyBorder="1"/>
    <xf numFmtId="0" fontId="0" fillId="0" borderId="14" xfId="0" applyBorder="1"/>
    <xf numFmtId="0" fontId="2" fillId="0" borderId="0" xfId="0" applyFont="1" applyAlignment="1">
      <alignment horizontal="center" wrapText="1"/>
    </xf>
    <xf numFmtId="0" fontId="0" fillId="6" borderId="1" xfId="0" applyFill="1" applyBorder="1"/>
    <xf numFmtId="164" fontId="0" fillId="0" borderId="1" xfId="1" applyFont="1" applyBorder="1" applyAlignment="1">
      <alignment wrapText="1"/>
    </xf>
    <xf numFmtId="0" fontId="0" fillId="7" borderId="1" xfId="0" applyFill="1" applyBorder="1"/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8" borderId="1" xfId="0" applyFill="1" applyBorder="1"/>
    <xf numFmtId="164" fontId="0" fillId="2" borderId="1" xfId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0" fillId="9" borderId="1" xfId="0" applyFill="1" applyBorder="1"/>
    <xf numFmtId="164" fontId="0" fillId="0" borderId="1" xfId="1" applyFon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4" xfId="0" applyFont="1" applyBorder="1"/>
    <xf numFmtId="0" fontId="1" fillId="0" borderId="6" xfId="0" applyFont="1" applyBorder="1" applyAlignment="1">
      <alignment horizontal="center" wrapText="1"/>
    </xf>
    <xf numFmtId="164" fontId="1" fillId="0" borderId="1" xfId="1" applyFont="1" applyBorder="1"/>
    <xf numFmtId="0" fontId="1" fillId="0" borderId="4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1" fillId="0" borderId="4" xfId="0" applyNumberFormat="1" applyFont="1" applyBorder="1" applyAlignment="1">
      <alignment horizontal="center"/>
    </xf>
    <xf numFmtId="0" fontId="4" fillId="0" borderId="1" xfId="0" applyNumberFormat="1" applyFont="1" applyBorder="1"/>
    <xf numFmtId="0" fontId="1" fillId="0" borderId="4" xfId="1" applyNumberFormat="1" applyFont="1" applyFill="1" applyBorder="1"/>
    <xf numFmtId="0" fontId="1" fillId="0" borderId="1" xfId="1" applyNumberFormat="1" applyFont="1" applyBorder="1"/>
    <xf numFmtId="0" fontId="1" fillId="0" borderId="1" xfId="1" applyNumberFormat="1" applyFont="1" applyFill="1" applyBorder="1"/>
    <xf numFmtId="0" fontId="1" fillId="2" borderId="1" xfId="1" applyNumberFormat="1" applyFont="1" applyFill="1" applyBorder="1"/>
    <xf numFmtId="0" fontId="1" fillId="4" borderId="1" xfId="1" applyNumberFormat="1" applyFont="1" applyFill="1" applyBorder="1"/>
    <xf numFmtId="0" fontId="1" fillId="3" borderId="1" xfId="1" applyNumberFormat="1" applyFont="1" applyFill="1" applyBorder="1"/>
    <xf numFmtId="0" fontId="1" fillId="0" borderId="1" xfId="1" applyNumberFormat="1" applyFont="1" applyBorder="1" applyAlignment="1">
      <alignment vertical="center"/>
    </xf>
    <xf numFmtId="0" fontId="1" fillId="2" borderId="1" xfId="1" applyNumberFormat="1" applyFont="1" applyFill="1" applyBorder="1" applyAlignment="1">
      <alignment vertical="center"/>
    </xf>
    <xf numFmtId="0" fontId="1" fillId="0" borderId="0" xfId="1" applyNumberFormat="1" applyFont="1"/>
    <xf numFmtId="0" fontId="1" fillId="0" borderId="0" xfId="0" applyNumberFormat="1" applyFont="1"/>
  </cellXfs>
  <cellStyles count="2">
    <cellStyle name="Milliers" xfId="1" builtinId="3"/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1"/>
  <sheetViews>
    <sheetView tabSelected="1" zoomScale="106" zoomScaleNormal="106" zoomScaleSheetLayoutView="68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V41" sqref="V41"/>
    </sheetView>
  </sheetViews>
  <sheetFormatPr baseColWidth="10" defaultRowHeight="15" x14ac:dyDescent="0.25"/>
  <cols>
    <col min="1" max="1" width="29.85546875" customWidth="1"/>
    <col min="2" max="2" width="10.7109375" style="91" bestFit="1" customWidth="1"/>
    <col min="3" max="3" width="18.85546875" customWidth="1"/>
    <col min="4" max="4" width="30.28515625" customWidth="1"/>
    <col min="5" max="5" width="48.42578125" customWidth="1"/>
    <col min="6" max="6" width="28.28515625" customWidth="1"/>
    <col min="7" max="7" width="43" customWidth="1"/>
    <col min="8" max="8" width="39.28515625" customWidth="1"/>
    <col min="9" max="9" width="21.28515625" customWidth="1"/>
    <col min="10" max="10" width="39.5703125" customWidth="1"/>
    <col min="11" max="11" width="15.28515625" customWidth="1"/>
    <col min="12" max="12" width="60.42578125" customWidth="1"/>
    <col min="13" max="13" width="56.85546875" customWidth="1"/>
    <col min="14" max="14" width="24.85546875" customWidth="1"/>
    <col min="15" max="15" width="34.42578125" customWidth="1"/>
    <col min="16" max="16" width="15.28515625" customWidth="1"/>
    <col min="17" max="17" width="33.5703125" customWidth="1"/>
    <col min="18" max="18" width="58.85546875" customWidth="1"/>
    <col min="19" max="19" width="18.85546875" customWidth="1"/>
    <col min="20" max="20" width="15.5703125" customWidth="1"/>
    <col min="21" max="21" width="40" customWidth="1"/>
    <col min="22" max="22" width="14.85546875" customWidth="1"/>
    <col min="23" max="23" width="39.42578125" style="67" customWidth="1"/>
    <col min="24" max="24" width="15.28515625" style="33" bestFit="1" customWidth="1"/>
    <col min="25" max="25" width="21.7109375" bestFit="1" customWidth="1"/>
    <col min="26" max="26" width="14.85546875" customWidth="1"/>
    <col min="27" max="27" width="18.42578125" customWidth="1"/>
  </cols>
  <sheetData>
    <row r="1" spans="1:27" ht="38.25" thickBot="1" x14ac:dyDescent="0.35">
      <c r="A1" s="14"/>
      <c r="B1" s="79"/>
      <c r="C1" s="75" t="s">
        <v>168</v>
      </c>
      <c r="D1" s="76"/>
      <c r="E1" s="77"/>
      <c r="F1" s="75" t="s">
        <v>158</v>
      </c>
      <c r="G1" s="76"/>
      <c r="H1" s="77"/>
      <c r="I1" s="75" t="s">
        <v>155</v>
      </c>
      <c r="J1" s="76"/>
      <c r="K1" s="76"/>
      <c r="L1" s="77"/>
      <c r="M1" s="42" t="s">
        <v>227</v>
      </c>
      <c r="N1" s="48" t="s">
        <v>226</v>
      </c>
      <c r="O1" s="48" t="s">
        <v>228</v>
      </c>
      <c r="P1" s="72" t="s">
        <v>134</v>
      </c>
      <c r="Q1" s="73"/>
      <c r="R1" s="74"/>
      <c r="S1" s="63" t="s">
        <v>274</v>
      </c>
      <c r="T1" s="72" t="s">
        <v>269</v>
      </c>
      <c r="U1" s="73"/>
      <c r="V1" s="78"/>
      <c r="W1" s="74"/>
      <c r="X1" s="68" t="s">
        <v>322</v>
      </c>
      <c r="Y1" s="69"/>
      <c r="Z1" s="70"/>
      <c r="AA1" s="71"/>
    </row>
    <row r="2" spans="1:27" x14ac:dyDescent="0.25">
      <c r="A2" s="18" t="s">
        <v>0</v>
      </c>
      <c r="B2" s="80" t="s">
        <v>494</v>
      </c>
      <c r="C2" s="15" t="s">
        <v>124</v>
      </c>
      <c r="D2" s="15" t="s">
        <v>125</v>
      </c>
      <c r="E2" s="15" t="s">
        <v>126</v>
      </c>
      <c r="F2" s="15" t="s">
        <v>124</v>
      </c>
      <c r="G2" s="15" t="s">
        <v>125</v>
      </c>
      <c r="H2" s="15" t="s">
        <v>126</v>
      </c>
      <c r="I2" s="19" t="s">
        <v>124</v>
      </c>
      <c r="J2" s="15" t="s">
        <v>125</v>
      </c>
      <c r="K2" s="15" t="s">
        <v>218</v>
      </c>
      <c r="L2" s="15" t="s">
        <v>126</v>
      </c>
      <c r="M2" s="9" t="s">
        <v>145</v>
      </c>
      <c r="N2" s="15"/>
      <c r="O2" s="15"/>
      <c r="P2" s="16" t="s">
        <v>1</v>
      </c>
      <c r="Q2" s="16" t="s">
        <v>135</v>
      </c>
      <c r="R2" s="16" t="s">
        <v>2</v>
      </c>
      <c r="S2" s="16"/>
      <c r="T2" s="62" t="s">
        <v>1</v>
      </c>
      <c r="U2" s="62" t="s">
        <v>135</v>
      </c>
      <c r="V2" s="62" t="s">
        <v>488</v>
      </c>
      <c r="W2" s="65" t="s">
        <v>2</v>
      </c>
      <c r="X2" s="64" t="s">
        <v>1</v>
      </c>
      <c r="Y2" s="57" t="s">
        <v>135</v>
      </c>
      <c r="Z2" s="62" t="s">
        <v>488</v>
      </c>
      <c r="AA2" s="57" t="s">
        <v>2</v>
      </c>
    </row>
    <row r="3" spans="1:27" ht="45" x14ac:dyDescent="0.25">
      <c r="A3" s="54" t="s">
        <v>78</v>
      </c>
      <c r="B3" s="82"/>
      <c r="C3" s="31">
        <v>1000000</v>
      </c>
      <c r="D3" s="16">
        <v>41098229</v>
      </c>
      <c r="E3" s="16"/>
      <c r="F3" s="22">
        <v>1000000</v>
      </c>
      <c r="G3" s="1">
        <v>7162979</v>
      </c>
      <c r="H3" s="22" t="s">
        <v>159</v>
      </c>
      <c r="I3" s="3"/>
      <c r="K3" s="33">
        <v>1000000</v>
      </c>
      <c r="L3" s="17" t="s">
        <v>270</v>
      </c>
      <c r="M3" s="6">
        <v>5000000</v>
      </c>
      <c r="N3" s="6">
        <v>1000000</v>
      </c>
      <c r="O3" s="6">
        <v>5000000</v>
      </c>
      <c r="P3" s="56">
        <v>1000000</v>
      </c>
      <c r="Q3" s="56" t="s">
        <v>325</v>
      </c>
      <c r="R3" s="56" t="s">
        <v>321</v>
      </c>
      <c r="S3" s="3"/>
      <c r="T3" s="1">
        <v>1000000</v>
      </c>
      <c r="U3" s="1" t="s">
        <v>326</v>
      </c>
      <c r="V3" s="1" t="s">
        <v>489</v>
      </c>
      <c r="W3" s="10" t="s">
        <v>452</v>
      </c>
      <c r="X3" s="3">
        <v>1000000</v>
      </c>
      <c r="Y3" s="1" t="s">
        <v>323</v>
      </c>
      <c r="Z3" s="1" t="s">
        <v>489</v>
      </c>
      <c r="AA3" s="1" t="s">
        <v>324</v>
      </c>
    </row>
    <row r="4" spans="1:27" x14ac:dyDescent="0.25">
      <c r="A4" s="54" t="s">
        <v>273</v>
      </c>
      <c r="B4" s="83"/>
      <c r="C4" s="3">
        <v>200000</v>
      </c>
      <c r="D4" s="1" t="s">
        <v>194</v>
      </c>
      <c r="E4" s="1"/>
      <c r="F4" s="21">
        <v>200000</v>
      </c>
      <c r="G4" s="23" t="s">
        <v>166</v>
      </c>
      <c r="H4" s="21"/>
      <c r="I4" s="3">
        <v>200000</v>
      </c>
      <c r="J4" s="1" t="s">
        <v>3</v>
      </c>
      <c r="K4" s="3">
        <v>200000</v>
      </c>
      <c r="L4" s="12" t="s">
        <v>141</v>
      </c>
      <c r="M4" s="3"/>
      <c r="N4" s="3">
        <v>200000</v>
      </c>
      <c r="O4" s="3">
        <v>200000</v>
      </c>
      <c r="P4" s="1">
        <v>200000</v>
      </c>
      <c r="Q4" s="1" t="s">
        <v>262</v>
      </c>
      <c r="R4" s="1" t="s">
        <v>16</v>
      </c>
      <c r="S4" s="3">
        <v>0</v>
      </c>
      <c r="T4" s="1">
        <v>200000</v>
      </c>
      <c r="U4" s="1" t="s">
        <v>387</v>
      </c>
      <c r="V4" s="1" t="s">
        <v>489</v>
      </c>
      <c r="W4" s="10" t="s">
        <v>272</v>
      </c>
      <c r="X4" s="3"/>
      <c r="Y4" s="1"/>
      <c r="Z4" s="1"/>
      <c r="AA4" s="1"/>
    </row>
    <row r="5" spans="1:27" x14ac:dyDescent="0.25">
      <c r="A5" s="54" t="s">
        <v>130</v>
      </c>
      <c r="B5" s="84"/>
      <c r="C5" s="6">
        <v>400000</v>
      </c>
      <c r="D5" s="1" t="s">
        <v>180</v>
      </c>
      <c r="E5" s="1" t="s">
        <v>181</v>
      </c>
      <c r="F5" s="6">
        <v>400000</v>
      </c>
      <c r="G5" s="30">
        <v>980557</v>
      </c>
      <c r="H5" s="6"/>
      <c r="I5" s="3">
        <v>400000</v>
      </c>
      <c r="J5" s="1" t="s">
        <v>349</v>
      </c>
      <c r="K5" s="3">
        <v>400000</v>
      </c>
      <c r="L5" s="12" t="s">
        <v>350</v>
      </c>
      <c r="M5" s="3"/>
      <c r="N5" s="3"/>
      <c r="O5" s="3"/>
      <c r="P5" s="1">
        <v>400000</v>
      </c>
      <c r="Q5" s="1" t="s">
        <v>349</v>
      </c>
      <c r="R5" s="1" t="s">
        <v>350</v>
      </c>
      <c r="S5" s="3"/>
      <c r="T5" s="1">
        <v>400000</v>
      </c>
      <c r="U5" s="1" t="s">
        <v>349</v>
      </c>
      <c r="V5" s="1" t="s">
        <v>489</v>
      </c>
      <c r="W5" s="10" t="s">
        <v>350</v>
      </c>
      <c r="X5" s="3"/>
      <c r="Y5" s="1"/>
      <c r="Z5" s="1"/>
      <c r="AA5" s="1"/>
    </row>
    <row r="6" spans="1:27" ht="30" x14ac:dyDescent="0.25">
      <c r="A6" s="54" t="s">
        <v>80</v>
      </c>
      <c r="B6" s="83"/>
      <c r="C6" s="3">
        <v>1000000</v>
      </c>
      <c r="D6" s="32" t="s">
        <v>170</v>
      </c>
      <c r="E6" s="1"/>
      <c r="F6" s="3">
        <v>1000000</v>
      </c>
      <c r="G6" s="25" t="s">
        <v>167</v>
      </c>
      <c r="H6" s="3"/>
      <c r="I6" s="3">
        <v>1000000</v>
      </c>
      <c r="J6" s="1" t="s">
        <v>197</v>
      </c>
      <c r="K6" s="3">
        <v>1000000</v>
      </c>
      <c r="L6" s="12" t="s">
        <v>16</v>
      </c>
      <c r="M6" s="3"/>
      <c r="N6" s="3">
        <v>1000000</v>
      </c>
      <c r="O6" s="3">
        <v>1000000</v>
      </c>
      <c r="P6" s="1">
        <v>1000000</v>
      </c>
      <c r="Q6" s="1" t="s">
        <v>242</v>
      </c>
      <c r="R6" s="1" t="s">
        <v>16</v>
      </c>
      <c r="S6" s="3">
        <v>0</v>
      </c>
      <c r="T6" s="1"/>
      <c r="U6" s="1"/>
      <c r="V6" s="1" t="s">
        <v>490</v>
      </c>
      <c r="W6" s="10" t="s">
        <v>384</v>
      </c>
      <c r="X6" s="3"/>
      <c r="Y6" s="1"/>
      <c r="Z6" s="1"/>
      <c r="AA6" s="1"/>
    </row>
    <row r="7" spans="1:27" x14ac:dyDescent="0.25">
      <c r="A7" s="54" t="s">
        <v>113</v>
      </c>
      <c r="B7" s="83"/>
      <c r="C7" s="3">
        <v>200000</v>
      </c>
      <c r="D7" s="1"/>
      <c r="E7" s="1"/>
      <c r="F7" s="3"/>
      <c r="G7" s="25"/>
      <c r="H7" s="3"/>
      <c r="I7" s="3">
        <v>200000</v>
      </c>
      <c r="J7" s="1"/>
      <c r="K7" s="3"/>
      <c r="L7" s="12" t="s">
        <v>139</v>
      </c>
      <c r="M7" s="3"/>
      <c r="N7" s="3"/>
      <c r="O7" s="3"/>
      <c r="P7" s="1">
        <v>200000</v>
      </c>
      <c r="Q7" s="1" t="s">
        <v>189</v>
      </c>
      <c r="R7" s="1" t="s">
        <v>139</v>
      </c>
      <c r="S7" s="3">
        <v>0</v>
      </c>
      <c r="T7" s="1"/>
      <c r="U7" s="1"/>
      <c r="V7" s="1" t="s">
        <v>490</v>
      </c>
      <c r="W7" s="10" t="s">
        <v>327</v>
      </c>
      <c r="X7" s="3"/>
      <c r="Y7" s="1"/>
      <c r="Z7" s="1"/>
      <c r="AA7" s="1"/>
    </row>
    <row r="8" spans="1:27" x14ac:dyDescent="0.25">
      <c r="A8" s="54" t="s">
        <v>84</v>
      </c>
      <c r="B8" s="83"/>
      <c r="C8" s="3">
        <v>1000000</v>
      </c>
      <c r="D8" s="1"/>
      <c r="E8" s="1"/>
      <c r="F8" s="3">
        <v>1000000</v>
      </c>
      <c r="G8" s="25" t="s">
        <v>171</v>
      </c>
      <c r="H8" s="3" t="s">
        <v>172</v>
      </c>
      <c r="I8" s="39">
        <v>1000000</v>
      </c>
      <c r="J8" s="1" t="s">
        <v>171</v>
      </c>
      <c r="K8" s="3">
        <v>1000000</v>
      </c>
      <c r="L8" s="12" t="s">
        <v>8</v>
      </c>
      <c r="M8" s="3"/>
      <c r="N8" s="3"/>
      <c r="O8" s="3"/>
      <c r="P8" s="1"/>
      <c r="Q8" s="1"/>
      <c r="R8" s="1" t="s">
        <v>307</v>
      </c>
      <c r="S8" s="3"/>
      <c r="T8" s="1">
        <v>1000000</v>
      </c>
      <c r="U8" s="1" t="s">
        <v>339</v>
      </c>
      <c r="V8" s="1" t="s">
        <v>489</v>
      </c>
      <c r="W8" s="10" t="s">
        <v>311</v>
      </c>
      <c r="X8" s="3"/>
      <c r="Y8" s="1"/>
      <c r="Z8" s="1"/>
      <c r="AA8" s="1"/>
    </row>
    <row r="9" spans="1:27" x14ac:dyDescent="0.25">
      <c r="A9" s="54" t="s">
        <v>79</v>
      </c>
      <c r="B9" s="83"/>
      <c r="C9" s="3">
        <v>1000000</v>
      </c>
      <c r="D9" s="1" t="s">
        <v>182</v>
      </c>
      <c r="E9" s="1"/>
      <c r="F9" s="3">
        <v>1000000</v>
      </c>
      <c r="G9" s="25"/>
      <c r="H9" s="3"/>
      <c r="I9" s="39">
        <v>1000000</v>
      </c>
      <c r="J9" s="1">
        <v>41513482</v>
      </c>
      <c r="K9" s="3">
        <v>1000000</v>
      </c>
      <c r="L9" s="12" t="s">
        <v>8</v>
      </c>
      <c r="M9" s="3"/>
      <c r="N9" s="3"/>
      <c r="O9" s="3"/>
      <c r="P9" s="1">
        <v>1000000</v>
      </c>
      <c r="Q9" s="1" t="s">
        <v>234</v>
      </c>
      <c r="R9" s="1" t="s">
        <v>235</v>
      </c>
      <c r="S9" s="3">
        <v>0</v>
      </c>
      <c r="T9" s="3">
        <v>1000000</v>
      </c>
      <c r="U9" s="1" t="s">
        <v>316</v>
      </c>
      <c r="V9" s="1" t="s">
        <v>489</v>
      </c>
      <c r="W9" s="10" t="s">
        <v>317</v>
      </c>
      <c r="X9" s="3"/>
      <c r="Y9" s="1"/>
      <c r="Z9" s="1"/>
      <c r="AA9" s="1"/>
    </row>
    <row r="10" spans="1:27" x14ac:dyDescent="0.25">
      <c r="A10" s="54" t="s">
        <v>5</v>
      </c>
      <c r="B10" s="83"/>
      <c r="C10" s="3">
        <v>400000</v>
      </c>
      <c r="D10" s="1" t="s">
        <v>179</v>
      </c>
      <c r="E10" s="1"/>
      <c r="F10" s="3"/>
      <c r="G10" s="25"/>
      <c r="H10" s="3"/>
      <c r="I10" s="39">
        <v>400000</v>
      </c>
      <c r="J10" s="1" t="s">
        <v>184</v>
      </c>
      <c r="K10" s="3">
        <v>400000</v>
      </c>
      <c r="L10" s="12" t="s">
        <v>8</v>
      </c>
      <c r="M10" s="3"/>
      <c r="N10" s="3">
        <v>400000</v>
      </c>
      <c r="O10" s="3">
        <v>400000</v>
      </c>
      <c r="P10" s="1">
        <v>400000</v>
      </c>
      <c r="Q10" s="1" t="s">
        <v>233</v>
      </c>
      <c r="R10" s="1" t="s">
        <v>236</v>
      </c>
      <c r="S10" s="3">
        <v>0</v>
      </c>
      <c r="T10" s="1">
        <v>400000</v>
      </c>
      <c r="U10" s="1" t="s">
        <v>335</v>
      </c>
      <c r="V10" s="1" t="s">
        <v>489</v>
      </c>
      <c r="W10" s="10" t="s">
        <v>311</v>
      </c>
      <c r="X10" s="3"/>
      <c r="Y10" s="1"/>
      <c r="Z10" s="1"/>
      <c r="AA10" s="1"/>
    </row>
    <row r="11" spans="1:27" x14ac:dyDescent="0.25">
      <c r="A11" s="54" t="s">
        <v>381</v>
      </c>
      <c r="B11" s="83"/>
      <c r="C11" s="3">
        <v>200000</v>
      </c>
      <c r="D11" s="1"/>
      <c r="E11" s="1"/>
      <c r="F11" s="3"/>
      <c r="G11" s="25"/>
      <c r="H11" s="3"/>
      <c r="I11" s="39"/>
      <c r="J11" s="1"/>
      <c r="K11" s="3"/>
      <c r="L11" s="12"/>
      <c r="M11" s="3"/>
      <c r="N11" s="3"/>
      <c r="O11" s="3"/>
      <c r="P11" s="1"/>
      <c r="Q11" s="1"/>
      <c r="R11" s="1" t="s">
        <v>382</v>
      </c>
      <c r="S11" s="3"/>
      <c r="T11" s="1">
        <v>200000</v>
      </c>
      <c r="U11" s="1" t="s">
        <v>383</v>
      </c>
      <c r="V11" s="1" t="s">
        <v>489</v>
      </c>
      <c r="W11" s="10" t="s">
        <v>311</v>
      </c>
      <c r="X11" s="3"/>
      <c r="Y11" s="1"/>
      <c r="Z11" s="1"/>
      <c r="AA11" s="1"/>
    </row>
    <row r="12" spans="1:27" x14ac:dyDescent="0.25">
      <c r="A12" s="54" t="s">
        <v>81</v>
      </c>
      <c r="B12" s="83"/>
      <c r="C12" s="3">
        <v>400000</v>
      </c>
      <c r="D12" s="1" t="s">
        <v>177</v>
      </c>
      <c r="E12" s="1"/>
      <c r="F12" s="3">
        <v>400000</v>
      </c>
      <c r="G12" s="25" t="s">
        <v>176</v>
      </c>
      <c r="H12" s="3"/>
      <c r="I12" s="39">
        <v>400000</v>
      </c>
      <c r="J12" s="1" t="s">
        <v>82</v>
      </c>
      <c r="K12" s="3">
        <v>400000</v>
      </c>
      <c r="L12" s="12" t="s">
        <v>8</v>
      </c>
      <c r="M12" s="3"/>
      <c r="N12" s="3"/>
      <c r="O12" s="3"/>
      <c r="P12" s="1">
        <v>400000</v>
      </c>
      <c r="Q12" s="1" t="s">
        <v>239</v>
      </c>
      <c r="R12" s="1" t="s">
        <v>240</v>
      </c>
      <c r="S12" s="3">
        <v>0</v>
      </c>
      <c r="T12" s="1">
        <v>400000</v>
      </c>
      <c r="U12" s="1" t="s">
        <v>332</v>
      </c>
      <c r="V12" s="1" t="s">
        <v>489</v>
      </c>
      <c r="W12" s="10" t="s">
        <v>331</v>
      </c>
      <c r="X12" s="3"/>
      <c r="Y12" s="1"/>
      <c r="Z12" s="1"/>
      <c r="AA12" s="1"/>
    </row>
    <row r="13" spans="1:27" x14ac:dyDescent="0.25">
      <c r="A13" s="54" t="s">
        <v>57</v>
      </c>
      <c r="B13" s="83"/>
      <c r="C13" s="3">
        <v>200000</v>
      </c>
      <c r="D13" s="1"/>
      <c r="E13" s="1"/>
      <c r="F13" s="3"/>
      <c r="G13" s="25"/>
      <c r="H13" s="3"/>
      <c r="I13" s="3">
        <v>200000</v>
      </c>
      <c r="J13" s="1" t="s">
        <v>244</v>
      </c>
      <c r="K13" s="3">
        <v>200000</v>
      </c>
      <c r="L13" s="12" t="s">
        <v>8</v>
      </c>
      <c r="M13" s="3"/>
      <c r="N13" s="3">
        <v>200000</v>
      </c>
      <c r="O13" s="3"/>
      <c r="P13" s="1">
        <v>200000</v>
      </c>
      <c r="Q13" s="1" t="s">
        <v>245</v>
      </c>
      <c r="R13" s="1" t="s">
        <v>246</v>
      </c>
      <c r="S13" s="3">
        <v>0</v>
      </c>
      <c r="T13" s="1">
        <v>200000</v>
      </c>
      <c r="U13" s="1" t="s">
        <v>360</v>
      </c>
      <c r="V13" s="1" t="s">
        <v>489</v>
      </c>
      <c r="W13" s="10" t="s">
        <v>272</v>
      </c>
      <c r="X13" s="3"/>
      <c r="Y13" s="1"/>
      <c r="Z13" s="1"/>
      <c r="AA13" s="1"/>
    </row>
    <row r="14" spans="1:27" x14ac:dyDescent="0.25">
      <c r="A14" s="54" t="s">
        <v>58</v>
      </c>
      <c r="B14" s="83">
        <v>2023</v>
      </c>
      <c r="C14" s="3">
        <v>400000</v>
      </c>
      <c r="D14" s="1"/>
      <c r="E14" s="1"/>
      <c r="F14" s="3"/>
      <c r="G14" s="25"/>
      <c r="H14" s="3"/>
      <c r="I14" s="39">
        <v>400000</v>
      </c>
      <c r="J14" s="1" t="s">
        <v>59</v>
      </c>
      <c r="K14" s="3">
        <v>400000</v>
      </c>
      <c r="L14" s="12" t="s">
        <v>60</v>
      </c>
      <c r="M14" s="3"/>
      <c r="N14" s="3"/>
      <c r="O14" s="3"/>
      <c r="P14" s="1">
        <v>400000</v>
      </c>
      <c r="Q14" s="1" t="s">
        <v>247</v>
      </c>
      <c r="R14" s="1" t="s">
        <v>16</v>
      </c>
      <c r="S14" s="3">
        <v>0</v>
      </c>
      <c r="T14" s="1">
        <v>400000</v>
      </c>
      <c r="U14" s="1" t="s">
        <v>358</v>
      </c>
      <c r="V14" s="1" t="s">
        <v>489</v>
      </c>
      <c r="W14" s="10" t="s">
        <v>311</v>
      </c>
      <c r="X14" s="3"/>
      <c r="Y14" s="1"/>
      <c r="Z14" s="1"/>
      <c r="AA14" s="1"/>
    </row>
    <row r="15" spans="1:27" x14ac:dyDescent="0.25">
      <c r="A15" s="54" t="s">
        <v>83</v>
      </c>
      <c r="B15" s="85"/>
      <c r="C15" s="7">
        <v>200000</v>
      </c>
      <c r="D15" s="2" t="s">
        <v>196</v>
      </c>
      <c r="E15" s="2"/>
      <c r="F15" s="7">
        <v>200000</v>
      </c>
      <c r="G15" s="26" t="s">
        <v>163</v>
      </c>
      <c r="H15" s="7"/>
      <c r="I15" s="3">
        <v>200000</v>
      </c>
      <c r="J15" s="1" t="s">
        <v>163</v>
      </c>
      <c r="K15" s="3">
        <v>200000</v>
      </c>
      <c r="L15" s="12" t="s">
        <v>136</v>
      </c>
      <c r="M15" s="7">
        <v>600000</v>
      </c>
      <c r="N15" s="7">
        <v>200000</v>
      </c>
      <c r="O15" s="7">
        <v>800000</v>
      </c>
      <c r="P15" s="1">
        <v>200000</v>
      </c>
      <c r="Q15" s="1" t="s">
        <v>374</v>
      </c>
      <c r="R15" s="1" t="s">
        <v>373</v>
      </c>
      <c r="S15" s="3"/>
      <c r="T15" s="1">
        <v>200000</v>
      </c>
      <c r="U15" s="1" t="s">
        <v>374</v>
      </c>
      <c r="V15" s="1" t="s">
        <v>489</v>
      </c>
      <c r="W15" s="10" t="s">
        <v>373</v>
      </c>
      <c r="X15" s="3"/>
      <c r="Y15" s="1"/>
      <c r="Z15" s="1"/>
      <c r="AA15" s="1"/>
    </row>
    <row r="16" spans="1:27" ht="30" x14ac:dyDescent="0.25">
      <c r="A16" s="54" t="s">
        <v>6</v>
      </c>
      <c r="B16" s="83"/>
      <c r="C16" s="3">
        <v>1000000</v>
      </c>
      <c r="D16" s="1"/>
      <c r="E16" s="1"/>
      <c r="F16" s="3"/>
      <c r="G16" s="25"/>
      <c r="H16" s="3"/>
      <c r="I16" s="39">
        <v>1000000</v>
      </c>
      <c r="J16" s="1" t="s">
        <v>7</v>
      </c>
      <c r="K16" s="3">
        <v>1000000</v>
      </c>
      <c r="L16" s="1" t="s">
        <v>8</v>
      </c>
      <c r="M16" s="3"/>
      <c r="N16" s="3"/>
      <c r="O16" s="3"/>
      <c r="P16" s="1"/>
      <c r="Q16" s="1"/>
      <c r="R16" s="1" t="s">
        <v>318</v>
      </c>
      <c r="S16" s="3">
        <v>1000000</v>
      </c>
      <c r="T16" s="1">
        <v>1000000</v>
      </c>
      <c r="U16" s="1" t="s">
        <v>320</v>
      </c>
      <c r="V16" s="1" t="s">
        <v>489</v>
      </c>
      <c r="W16" s="10" t="s">
        <v>319</v>
      </c>
      <c r="X16" s="3"/>
      <c r="Y16" s="1"/>
      <c r="Z16" s="1"/>
      <c r="AA16" s="1"/>
    </row>
    <row r="17" spans="1:27" x14ac:dyDescent="0.25">
      <c r="A17" s="54" t="s">
        <v>13</v>
      </c>
      <c r="B17" s="83"/>
      <c r="C17" s="3">
        <v>400000</v>
      </c>
      <c r="D17" s="1"/>
      <c r="E17" s="1"/>
      <c r="F17" s="3"/>
      <c r="G17" s="25"/>
      <c r="H17" s="3"/>
      <c r="I17" s="39">
        <v>400000</v>
      </c>
      <c r="J17" s="1">
        <v>4542093</v>
      </c>
      <c r="K17" s="3">
        <v>400000</v>
      </c>
      <c r="L17" s="1" t="s">
        <v>8</v>
      </c>
      <c r="M17" s="3"/>
      <c r="N17" s="3"/>
      <c r="O17" s="3"/>
      <c r="P17" s="1">
        <v>400000</v>
      </c>
      <c r="Q17" s="1" t="s">
        <v>152</v>
      </c>
      <c r="R17" s="1" t="s">
        <v>16</v>
      </c>
      <c r="S17" s="3">
        <v>0</v>
      </c>
      <c r="T17" s="1">
        <v>400000</v>
      </c>
      <c r="U17" s="1" t="s">
        <v>330</v>
      </c>
      <c r="V17" s="1" t="s">
        <v>489</v>
      </c>
      <c r="W17" s="10" t="s">
        <v>311</v>
      </c>
      <c r="X17" s="3"/>
      <c r="Y17" s="1"/>
      <c r="Z17" s="1"/>
      <c r="AA17" s="1"/>
    </row>
    <row r="18" spans="1:27" ht="45" x14ac:dyDescent="0.25">
      <c r="A18" s="2" t="s">
        <v>49</v>
      </c>
      <c r="B18" s="85"/>
      <c r="C18" s="7">
        <v>1000000</v>
      </c>
      <c r="D18" s="2"/>
      <c r="E18" s="2"/>
      <c r="F18" s="7"/>
      <c r="G18" s="26"/>
      <c r="H18" s="7"/>
      <c r="I18" s="3">
        <v>1000000</v>
      </c>
      <c r="J18" s="1" t="s">
        <v>50</v>
      </c>
      <c r="K18" s="3">
        <v>1000000</v>
      </c>
      <c r="L18" s="2" t="s">
        <v>137</v>
      </c>
      <c r="M18" s="7">
        <v>1000000</v>
      </c>
      <c r="N18" s="7">
        <v>1000000</v>
      </c>
      <c r="O18" s="7">
        <v>2000000</v>
      </c>
      <c r="P18" s="1">
        <v>1000000</v>
      </c>
      <c r="Q18" s="1" t="s">
        <v>50</v>
      </c>
      <c r="R18" s="1" t="s">
        <v>16</v>
      </c>
      <c r="S18" s="3">
        <v>0</v>
      </c>
      <c r="T18" s="1">
        <v>1000000</v>
      </c>
      <c r="U18" s="10" t="s">
        <v>366</v>
      </c>
      <c r="V18" s="10" t="s">
        <v>489</v>
      </c>
      <c r="W18" s="10" t="s">
        <v>272</v>
      </c>
      <c r="X18" s="3"/>
      <c r="Y18" s="1"/>
      <c r="Z18" s="10"/>
      <c r="AA18" s="1"/>
    </row>
    <row r="19" spans="1:27" x14ac:dyDescent="0.25">
      <c r="A19" s="1" t="s">
        <v>61</v>
      </c>
      <c r="B19" s="83"/>
      <c r="C19" s="3">
        <v>400000</v>
      </c>
      <c r="D19" s="1"/>
      <c r="E19" s="1"/>
      <c r="F19" s="3"/>
      <c r="G19" s="25"/>
      <c r="H19" s="3"/>
      <c r="I19" s="39">
        <v>400000</v>
      </c>
      <c r="J19" s="1" t="s">
        <v>62</v>
      </c>
      <c r="K19" s="3">
        <v>400000</v>
      </c>
      <c r="L19" s="1" t="s">
        <v>8</v>
      </c>
      <c r="M19" s="3"/>
      <c r="N19" s="3"/>
      <c r="O19" s="3"/>
      <c r="P19" s="1">
        <v>400000</v>
      </c>
      <c r="Q19" s="1" t="s">
        <v>351</v>
      </c>
      <c r="R19" s="1" t="s">
        <v>352</v>
      </c>
      <c r="S19" s="3"/>
      <c r="T19" s="1">
        <v>400000</v>
      </c>
      <c r="U19" s="1" t="s">
        <v>353</v>
      </c>
      <c r="V19" s="1" t="s">
        <v>489</v>
      </c>
      <c r="W19" s="10" t="s">
        <v>311</v>
      </c>
      <c r="X19" s="3"/>
      <c r="Y19" s="1"/>
      <c r="Z19" s="1"/>
      <c r="AA19" s="1"/>
    </row>
    <row r="20" spans="1:27" ht="30" x14ac:dyDescent="0.25">
      <c r="A20" s="1" t="s">
        <v>4</v>
      </c>
      <c r="B20" s="83"/>
      <c r="C20" s="3">
        <v>1000000</v>
      </c>
      <c r="D20" s="1" t="s">
        <v>198</v>
      </c>
      <c r="E20" s="1"/>
      <c r="F20" s="3">
        <v>1000000</v>
      </c>
      <c r="G20" s="25" t="s">
        <v>198</v>
      </c>
      <c r="H20" s="3"/>
      <c r="I20" s="3">
        <v>1000000</v>
      </c>
      <c r="J20" s="1" t="s">
        <v>198</v>
      </c>
      <c r="K20" s="3">
        <v>1000000</v>
      </c>
      <c r="L20" s="1" t="s">
        <v>199</v>
      </c>
      <c r="M20" s="3">
        <v>3000000</v>
      </c>
      <c r="N20" s="3">
        <v>1000000</v>
      </c>
      <c r="O20" s="3">
        <v>4000000</v>
      </c>
      <c r="P20" s="1"/>
      <c r="Q20" s="1"/>
      <c r="R20" s="1" t="s">
        <v>276</v>
      </c>
      <c r="S20" s="3">
        <v>1000000</v>
      </c>
      <c r="T20" s="1"/>
      <c r="U20" s="1"/>
      <c r="V20" s="1" t="s">
        <v>490</v>
      </c>
      <c r="W20" s="10" t="s">
        <v>388</v>
      </c>
      <c r="X20" s="3"/>
      <c r="Y20" s="1"/>
      <c r="Z20" s="1"/>
      <c r="AA20" s="1"/>
    </row>
    <row r="21" spans="1:27" x14ac:dyDescent="0.25">
      <c r="A21" s="1" t="s">
        <v>495</v>
      </c>
      <c r="B21" s="83">
        <v>2026</v>
      </c>
      <c r="C21" s="3"/>
      <c r="D21" s="1"/>
      <c r="E21" s="1"/>
      <c r="F21" s="3"/>
      <c r="G21" s="25"/>
      <c r="H21" s="3"/>
      <c r="I21" s="3"/>
      <c r="J21" s="1"/>
      <c r="K21" s="3"/>
      <c r="L21" s="1"/>
      <c r="M21" s="3"/>
      <c r="N21" s="3"/>
      <c r="O21" s="3"/>
      <c r="P21" s="1"/>
      <c r="Q21" s="1"/>
      <c r="R21" s="1"/>
      <c r="S21" s="3"/>
      <c r="T21" s="1"/>
      <c r="U21" s="1"/>
      <c r="V21" s="1"/>
      <c r="W21" s="10"/>
      <c r="X21" s="3"/>
      <c r="Y21" s="1"/>
      <c r="Z21" s="1"/>
      <c r="AA21" s="1"/>
    </row>
    <row r="22" spans="1:27" ht="30" x14ac:dyDescent="0.25">
      <c r="A22" s="1" t="s">
        <v>9</v>
      </c>
      <c r="B22" s="83"/>
      <c r="C22" s="3">
        <v>1000000</v>
      </c>
      <c r="D22" s="1"/>
      <c r="E22" s="1"/>
      <c r="F22" s="3">
        <v>1000000</v>
      </c>
      <c r="G22" s="25" t="s">
        <v>165</v>
      </c>
      <c r="H22" s="3"/>
      <c r="I22" s="3">
        <v>1000000</v>
      </c>
      <c r="J22" s="1" t="s">
        <v>164</v>
      </c>
      <c r="K22" s="3">
        <v>1000000</v>
      </c>
      <c r="L22" s="1" t="s">
        <v>8</v>
      </c>
      <c r="M22" s="3"/>
      <c r="N22" s="3">
        <v>1000000</v>
      </c>
      <c r="O22" s="3">
        <v>1000000</v>
      </c>
      <c r="P22" s="1"/>
      <c r="Q22" s="1"/>
      <c r="R22" s="1" t="s">
        <v>276</v>
      </c>
      <c r="S22" s="3">
        <v>1000000</v>
      </c>
      <c r="T22" s="1"/>
      <c r="U22" s="1"/>
      <c r="V22" s="1" t="s">
        <v>490</v>
      </c>
      <c r="W22" s="10" t="s">
        <v>388</v>
      </c>
      <c r="X22" s="3"/>
      <c r="Y22" s="1"/>
      <c r="Z22" s="1"/>
      <c r="AA22" s="1"/>
    </row>
    <row r="23" spans="1:27" ht="30" x14ac:dyDescent="0.25">
      <c r="A23" s="2" t="s">
        <v>10</v>
      </c>
      <c r="B23" s="85"/>
      <c r="C23" s="7">
        <v>1000000</v>
      </c>
      <c r="D23" s="2" t="s">
        <v>191</v>
      </c>
      <c r="E23" s="2"/>
      <c r="F23" s="7">
        <v>1000000</v>
      </c>
      <c r="G23" s="26" t="s">
        <v>191</v>
      </c>
      <c r="H23" s="7"/>
      <c r="I23" s="3">
        <v>1000000</v>
      </c>
      <c r="J23" s="1" t="s">
        <v>191</v>
      </c>
      <c r="K23" s="3">
        <v>1000000</v>
      </c>
      <c r="L23" s="5" t="s">
        <v>192</v>
      </c>
      <c r="M23" s="8">
        <v>3000000</v>
      </c>
      <c r="N23" s="8">
        <v>1000000</v>
      </c>
      <c r="O23" s="8">
        <v>4000000</v>
      </c>
      <c r="P23" s="1"/>
      <c r="Q23" s="1"/>
      <c r="R23" s="1" t="s">
        <v>276</v>
      </c>
      <c r="S23" s="3">
        <v>1000000</v>
      </c>
      <c r="T23" s="1"/>
      <c r="U23" s="1"/>
      <c r="V23" s="1" t="s">
        <v>490</v>
      </c>
      <c r="W23" s="10" t="s">
        <v>388</v>
      </c>
      <c r="X23" s="3"/>
      <c r="Y23" s="1"/>
      <c r="Z23" s="1"/>
      <c r="AA23" s="1"/>
    </row>
    <row r="24" spans="1:27" x14ac:dyDescent="0.25">
      <c r="A24" s="58" t="s">
        <v>149</v>
      </c>
      <c r="B24" s="84"/>
      <c r="C24" s="6">
        <v>200000</v>
      </c>
      <c r="D24" s="1"/>
      <c r="E24" s="1"/>
      <c r="F24" s="6">
        <v>200000</v>
      </c>
      <c r="G24" s="27" t="s">
        <v>336</v>
      </c>
      <c r="H24" s="6"/>
      <c r="I24" s="3">
        <v>200000</v>
      </c>
      <c r="J24" s="1" t="s">
        <v>336</v>
      </c>
      <c r="K24" s="3"/>
      <c r="L24" s="10" t="s">
        <v>272</v>
      </c>
      <c r="M24" s="8"/>
      <c r="N24" s="8"/>
      <c r="O24" s="8"/>
      <c r="P24" s="1"/>
      <c r="Q24" s="1"/>
      <c r="R24" s="1"/>
      <c r="S24" s="3"/>
      <c r="T24" s="1"/>
      <c r="U24" s="1"/>
      <c r="V24" s="1" t="s">
        <v>490</v>
      </c>
      <c r="W24" s="10" t="s">
        <v>389</v>
      </c>
      <c r="X24" s="3"/>
      <c r="Y24" s="1"/>
      <c r="Z24" s="1"/>
      <c r="AA24" s="1"/>
    </row>
    <row r="25" spans="1:27" ht="30" x14ac:dyDescent="0.25">
      <c r="A25" s="51" t="s">
        <v>153</v>
      </c>
      <c r="B25" s="86"/>
      <c r="C25" s="13">
        <v>1000000</v>
      </c>
      <c r="D25" s="12"/>
      <c r="E25" s="12"/>
      <c r="F25" s="13"/>
      <c r="G25" s="28"/>
      <c r="H25" s="13"/>
      <c r="I25" s="13"/>
      <c r="J25" s="12"/>
      <c r="K25" s="13">
        <v>1000000</v>
      </c>
      <c r="L25" s="17" t="s">
        <v>156</v>
      </c>
      <c r="M25" s="8">
        <v>1000000</v>
      </c>
      <c r="N25" s="8">
        <v>1000000</v>
      </c>
      <c r="O25" s="8"/>
      <c r="P25" s="1"/>
      <c r="Q25" s="1"/>
      <c r="R25" s="1" t="s">
        <v>277</v>
      </c>
      <c r="S25" s="3">
        <v>3000000</v>
      </c>
      <c r="T25" s="1"/>
      <c r="U25" s="1"/>
      <c r="V25" s="1" t="s">
        <v>490</v>
      </c>
      <c r="W25" s="10" t="s">
        <v>390</v>
      </c>
      <c r="X25" s="3"/>
      <c r="Y25" s="1"/>
      <c r="Z25" s="1"/>
      <c r="AA25" s="1"/>
    </row>
    <row r="26" spans="1:27" x14ac:dyDescent="0.25">
      <c r="A26" s="1" t="s">
        <v>11</v>
      </c>
      <c r="B26" s="83"/>
      <c r="C26" s="3">
        <v>1000000</v>
      </c>
      <c r="D26" s="1"/>
      <c r="E26" s="1"/>
      <c r="F26" s="3"/>
      <c r="G26" s="25"/>
      <c r="H26" s="3"/>
      <c r="I26" s="39">
        <v>1000000</v>
      </c>
      <c r="J26" s="1" t="s">
        <v>12</v>
      </c>
      <c r="K26" s="3">
        <v>1000000</v>
      </c>
      <c r="L26" s="1" t="s">
        <v>16</v>
      </c>
      <c r="M26" s="3"/>
      <c r="N26" s="3"/>
      <c r="O26" s="3"/>
      <c r="P26" s="1">
        <v>1000000</v>
      </c>
      <c r="Q26" s="1" t="s">
        <v>12</v>
      </c>
      <c r="R26" s="1" t="s">
        <v>272</v>
      </c>
      <c r="S26" s="3">
        <v>0</v>
      </c>
      <c r="T26" s="1">
        <v>1000000</v>
      </c>
      <c r="U26" s="1" t="s">
        <v>364</v>
      </c>
      <c r="V26" s="1" t="s">
        <v>489</v>
      </c>
      <c r="W26" s="10" t="s">
        <v>311</v>
      </c>
      <c r="X26" s="3"/>
      <c r="Y26" s="1"/>
      <c r="Z26" s="1"/>
      <c r="AA26" s="1"/>
    </row>
    <row r="27" spans="1:27" ht="45" x14ac:dyDescent="0.25">
      <c r="A27" s="51" t="s">
        <v>97</v>
      </c>
      <c r="B27" s="83"/>
      <c r="C27" s="3">
        <v>400000</v>
      </c>
      <c r="D27" s="1"/>
      <c r="E27" s="1"/>
      <c r="F27" s="3">
        <v>400000</v>
      </c>
      <c r="G27" s="25"/>
      <c r="H27" s="50" t="s">
        <v>255</v>
      </c>
      <c r="I27" s="39"/>
      <c r="J27" s="1"/>
      <c r="K27" s="3">
        <v>400000</v>
      </c>
      <c r="L27" s="1" t="s">
        <v>256</v>
      </c>
      <c r="M27" s="3"/>
      <c r="N27" s="3"/>
      <c r="O27" s="3"/>
      <c r="P27" s="1"/>
      <c r="Q27" s="1"/>
      <c r="R27" s="1" t="s">
        <v>275</v>
      </c>
      <c r="S27" s="3">
        <v>800000</v>
      </c>
      <c r="T27" s="1"/>
      <c r="U27" s="1"/>
      <c r="V27" s="1" t="s">
        <v>490</v>
      </c>
      <c r="W27" s="10" t="s">
        <v>392</v>
      </c>
      <c r="X27" s="3"/>
      <c r="Y27" s="1"/>
      <c r="Z27" s="1"/>
      <c r="AA27" s="1"/>
    </row>
    <row r="28" spans="1:27" ht="30" x14ac:dyDescent="0.25">
      <c r="A28" s="51" t="s">
        <v>148</v>
      </c>
      <c r="B28" s="83"/>
      <c r="C28" s="3">
        <v>400000</v>
      </c>
      <c r="D28" s="1"/>
      <c r="E28" s="1"/>
      <c r="F28" s="3"/>
      <c r="G28" s="25"/>
      <c r="H28" s="3"/>
      <c r="I28" s="3"/>
      <c r="J28" s="1"/>
      <c r="K28" s="3">
        <v>400000</v>
      </c>
      <c r="L28" s="1" t="s">
        <v>127</v>
      </c>
      <c r="M28" s="3"/>
      <c r="N28" s="3">
        <v>400000</v>
      </c>
      <c r="O28" s="3"/>
      <c r="P28" s="1"/>
      <c r="Q28" s="1"/>
      <c r="R28" s="1" t="s">
        <v>275</v>
      </c>
      <c r="S28" s="3">
        <v>800000</v>
      </c>
      <c r="T28" s="1"/>
      <c r="U28" s="1"/>
      <c r="V28" s="1" t="s">
        <v>490</v>
      </c>
      <c r="W28" s="10" t="s">
        <v>392</v>
      </c>
      <c r="X28" s="3"/>
      <c r="Y28" s="1"/>
      <c r="Z28" s="1"/>
      <c r="AA28" s="1"/>
    </row>
    <row r="29" spans="1:27" ht="30" x14ac:dyDescent="0.25">
      <c r="A29" s="51" t="s">
        <v>14</v>
      </c>
      <c r="B29" s="83"/>
      <c r="C29" s="3">
        <v>200000</v>
      </c>
      <c r="D29" s="1"/>
      <c r="E29" s="1"/>
      <c r="F29" s="3"/>
      <c r="G29" s="25"/>
      <c r="H29" s="3"/>
      <c r="I29" s="3"/>
      <c r="J29" s="1"/>
      <c r="K29" s="3">
        <v>200000</v>
      </c>
      <c r="L29" s="1" t="s">
        <v>114</v>
      </c>
      <c r="M29" s="3">
        <v>600000</v>
      </c>
      <c r="N29" s="3">
        <v>200000</v>
      </c>
      <c r="O29" s="3"/>
      <c r="P29" s="1"/>
      <c r="Q29" s="1"/>
      <c r="R29" s="1" t="s">
        <v>278</v>
      </c>
      <c r="S29" s="3">
        <v>1000000</v>
      </c>
      <c r="T29" s="1"/>
      <c r="U29" s="1"/>
      <c r="V29" s="1" t="s">
        <v>490</v>
      </c>
      <c r="W29" s="10" t="s">
        <v>393</v>
      </c>
      <c r="X29" s="3"/>
      <c r="Y29" s="1"/>
      <c r="Z29" s="1"/>
      <c r="AA29" s="1"/>
    </row>
    <row r="30" spans="1:27" x14ac:dyDescent="0.25">
      <c r="A30" s="1" t="s">
        <v>309</v>
      </c>
      <c r="B30" s="83"/>
      <c r="C30" s="3">
        <v>200000</v>
      </c>
      <c r="D30" s="1"/>
      <c r="E30" s="1"/>
      <c r="F30" s="3"/>
      <c r="G30" s="25"/>
      <c r="H30" s="3"/>
      <c r="I30" s="3"/>
      <c r="J30" s="1"/>
      <c r="K30" s="3"/>
      <c r="L30" s="1"/>
      <c r="M30" s="3"/>
      <c r="N30" s="3"/>
      <c r="O30" s="3"/>
      <c r="P30" s="1"/>
      <c r="Q30" s="1"/>
      <c r="R30" s="1"/>
      <c r="S30" s="3"/>
      <c r="T30" s="3">
        <v>200000</v>
      </c>
      <c r="U30" s="1" t="s">
        <v>310</v>
      </c>
      <c r="V30" s="1" t="s">
        <v>489</v>
      </c>
      <c r="W30" s="10" t="s">
        <v>311</v>
      </c>
      <c r="X30" s="3"/>
      <c r="Y30" s="1"/>
      <c r="Z30" s="1"/>
      <c r="AA30" s="1"/>
    </row>
    <row r="31" spans="1:27" ht="30" x14ac:dyDescent="0.25">
      <c r="A31" s="51" t="s">
        <v>140</v>
      </c>
      <c r="B31" s="87"/>
      <c r="C31" s="20">
        <v>400000</v>
      </c>
      <c r="D31" s="4"/>
      <c r="E31" s="4"/>
      <c r="F31" s="20"/>
      <c r="G31" s="24"/>
      <c r="H31" s="20"/>
      <c r="I31" s="3"/>
      <c r="J31" s="1"/>
      <c r="K31" s="3">
        <v>400000</v>
      </c>
      <c r="L31" s="1" t="s">
        <v>201</v>
      </c>
      <c r="M31" s="3">
        <v>400000</v>
      </c>
      <c r="N31" s="3">
        <v>400000</v>
      </c>
      <c r="O31" s="3"/>
      <c r="P31" s="1"/>
      <c r="Q31" s="1"/>
      <c r="R31" s="1" t="s">
        <v>277</v>
      </c>
      <c r="S31" s="3">
        <v>1200000</v>
      </c>
      <c r="T31" s="1"/>
      <c r="U31" s="1"/>
      <c r="V31" s="1" t="s">
        <v>490</v>
      </c>
      <c r="W31" s="10" t="s">
        <v>402</v>
      </c>
      <c r="X31" s="3"/>
      <c r="Y31" s="1"/>
      <c r="Z31" s="1"/>
      <c r="AA31" s="1"/>
    </row>
    <row r="32" spans="1:27" x14ac:dyDescent="0.25">
      <c r="A32" s="51" t="s">
        <v>51</v>
      </c>
      <c r="B32" s="83"/>
      <c r="C32" s="3">
        <v>1000000</v>
      </c>
      <c r="D32" s="1"/>
      <c r="E32" s="1"/>
      <c r="F32" s="3">
        <v>1000000</v>
      </c>
      <c r="G32" s="25" t="s">
        <v>398</v>
      </c>
      <c r="H32" s="3" t="s">
        <v>399</v>
      </c>
      <c r="I32" s="3">
        <v>1000000</v>
      </c>
      <c r="J32" s="1" t="s">
        <v>398</v>
      </c>
      <c r="K32" s="3"/>
      <c r="L32" s="1" t="s">
        <v>400</v>
      </c>
      <c r="M32" s="3"/>
      <c r="N32" s="3"/>
      <c r="O32" s="3"/>
      <c r="P32" s="1">
        <v>1000000</v>
      </c>
      <c r="Q32" s="1" t="s">
        <v>398</v>
      </c>
      <c r="R32" s="1" t="s">
        <v>400</v>
      </c>
      <c r="S32" s="3"/>
      <c r="T32" s="1">
        <v>1000000</v>
      </c>
      <c r="U32" s="1" t="s">
        <v>398</v>
      </c>
      <c r="V32" s="1" t="s">
        <v>489</v>
      </c>
      <c r="W32" s="10" t="s">
        <v>401</v>
      </c>
      <c r="X32" s="3"/>
      <c r="Y32" s="1"/>
      <c r="Z32" s="1"/>
      <c r="AA32" s="1"/>
    </row>
    <row r="33" spans="1:27" x14ac:dyDescent="0.25">
      <c r="A33" s="1" t="s">
        <v>15</v>
      </c>
      <c r="B33" s="83"/>
      <c r="C33" s="3">
        <v>400000</v>
      </c>
      <c r="D33" s="1"/>
      <c r="E33" s="1"/>
      <c r="F33" s="3"/>
      <c r="G33" s="25"/>
      <c r="H33" s="3"/>
      <c r="I33" s="39">
        <v>400000</v>
      </c>
      <c r="J33" s="1">
        <v>9993959</v>
      </c>
      <c r="K33" s="3">
        <v>400000</v>
      </c>
      <c r="L33" s="1" t="s">
        <v>16</v>
      </c>
      <c r="M33" s="3"/>
      <c r="N33" s="3"/>
      <c r="O33" s="3"/>
      <c r="P33" s="1">
        <v>400000</v>
      </c>
      <c r="Q33" s="1" t="s">
        <v>151</v>
      </c>
      <c r="R33" s="1" t="s">
        <v>272</v>
      </c>
      <c r="S33" s="3">
        <v>0</v>
      </c>
      <c r="T33" s="1">
        <v>400000</v>
      </c>
      <c r="U33" s="1" t="s">
        <v>328</v>
      </c>
      <c r="V33" s="1" t="s">
        <v>489</v>
      </c>
      <c r="W33" s="10" t="s">
        <v>311</v>
      </c>
      <c r="X33" s="3"/>
      <c r="Y33" s="1"/>
      <c r="Z33" s="1"/>
      <c r="AA33" s="1"/>
    </row>
    <row r="34" spans="1:27" ht="30" x14ac:dyDescent="0.25">
      <c r="A34" s="1" t="s">
        <v>17</v>
      </c>
      <c r="B34" s="83"/>
      <c r="C34" s="3">
        <v>400000</v>
      </c>
      <c r="D34" s="1" t="s">
        <v>464</v>
      </c>
      <c r="E34" s="1" t="s">
        <v>465</v>
      </c>
      <c r="F34" s="3"/>
      <c r="G34" s="25"/>
      <c r="H34" s="3"/>
      <c r="I34" s="3"/>
      <c r="J34" s="1"/>
      <c r="K34" s="3">
        <v>400000</v>
      </c>
      <c r="L34" s="1" t="s">
        <v>466</v>
      </c>
      <c r="M34" s="3">
        <v>800000</v>
      </c>
      <c r="N34" s="3">
        <v>400000</v>
      </c>
      <c r="O34" s="3"/>
      <c r="P34" s="1"/>
      <c r="Q34" s="1"/>
      <c r="R34" s="1" t="s">
        <v>277</v>
      </c>
      <c r="S34" s="3">
        <v>1600000</v>
      </c>
      <c r="T34" s="1"/>
      <c r="U34" s="1"/>
      <c r="V34" s="1"/>
      <c r="W34" s="10" t="s">
        <v>487</v>
      </c>
      <c r="X34" s="3"/>
      <c r="Y34" s="1"/>
      <c r="Z34" s="1"/>
      <c r="AA34" s="1"/>
    </row>
    <row r="35" spans="1:27" ht="30" x14ac:dyDescent="0.25">
      <c r="A35" s="1" t="s">
        <v>85</v>
      </c>
      <c r="B35" s="83"/>
      <c r="C35" s="3">
        <v>200000</v>
      </c>
      <c r="D35" s="1"/>
      <c r="E35" s="1"/>
      <c r="F35" s="3">
        <v>200000</v>
      </c>
      <c r="G35" s="25" t="s">
        <v>252</v>
      </c>
      <c r="H35" s="3" t="s">
        <v>253</v>
      </c>
      <c r="I35" s="39">
        <v>200000</v>
      </c>
      <c r="J35" s="1" t="s">
        <v>86</v>
      </c>
      <c r="K35" s="3">
        <v>200000</v>
      </c>
      <c r="L35" s="49" t="s">
        <v>16</v>
      </c>
      <c r="M35" s="3">
        <v>200000</v>
      </c>
      <c r="N35" s="3"/>
      <c r="O35" s="3">
        <v>600000</v>
      </c>
      <c r="P35" s="1">
        <v>200000</v>
      </c>
      <c r="Q35" s="1" t="s">
        <v>254</v>
      </c>
      <c r="R35" s="10" t="s">
        <v>279</v>
      </c>
      <c r="S35" s="50">
        <v>0</v>
      </c>
      <c r="T35" s="1">
        <v>200000</v>
      </c>
      <c r="U35" s="1" t="s">
        <v>426</v>
      </c>
      <c r="V35" s="1" t="s">
        <v>489</v>
      </c>
      <c r="W35" s="10" t="s">
        <v>427</v>
      </c>
      <c r="X35" s="3"/>
      <c r="Y35" s="1"/>
      <c r="Z35" s="1"/>
      <c r="AA35" s="1"/>
    </row>
    <row r="36" spans="1:27" x14ac:dyDescent="0.25">
      <c r="A36" s="1" t="s">
        <v>111</v>
      </c>
      <c r="B36" s="83"/>
      <c r="C36" s="3">
        <v>400000</v>
      </c>
      <c r="D36" s="1"/>
      <c r="E36" s="1"/>
      <c r="F36" s="3"/>
      <c r="G36" s="25"/>
      <c r="H36" s="3"/>
      <c r="I36" s="3">
        <v>400000</v>
      </c>
      <c r="J36" s="1" t="s">
        <v>188</v>
      </c>
      <c r="K36" s="3"/>
      <c r="L36" s="1" t="s">
        <v>115</v>
      </c>
      <c r="M36" s="3"/>
      <c r="N36" s="3"/>
      <c r="O36" s="3"/>
      <c r="P36" s="1">
        <v>400000</v>
      </c>
      <c r="Q36" s="1"/>
      <c r="R36" s="1" t="s">
        <v>42</v>
      </c>
      <c r="S36" s="3">
        <v>0</v>
      </c>
      <c r="T36" s="1">
        <v>400000</v>
      </c>
      <c r="U36" s="1" t="s">
        <v>361</v>
      </c>
      <c r="V36" s="1" t="s">
        <v>489</v>
      </c>
      <c r="W36" s="10" t="s">
        <v>311</v>
      </c>
      <c r="X36" s="3"/>
      <c r="Y36" s="1"/>
      <c r="Z36" s="1"/>
      <c r="AA36" s="1"/>
    </row>
    <row r="37" spans="1:27" x14ac:dyDescent="0.25">
      <c r="A37" s="1" t="s">
        <v>18</v>
      </c>
      <c r="B37" s="83"/>
      <c r="C37" s="3">
        <v>200000</v>
      </c>
      <c r="D37" s="1" t="s">
        <v>178</v>
      </c>
      <c r="E37" s="1"/>
      <c r="F37" s="3">
        <v>200000</v>
      </c>
      <c r="G37" s="25" t="s">
        <v>263</v>
      </c>
      <c r="H37" s="3"/>
      <c r="I37" s="3">
        <v>200000</v>
      </c>
      <c r="J37" s="1" t="s">
        <v>263</v>
      </c>
      <c r="K37" s="3">
        <v>200000</v>
      </c>
      <c r="L37" s="2" t="s">
        <v>264</v>
      </c>
      <c r="M37" s="3">
        <v>200000</v>
      </c>
      <c r="N37" s="3">
        <v>200000</v>
      </c>
      <c r="O37" s="3"/>
      <c r="P37" s="1">
        <v>200000</v>
      </c>
      <c r="Q37" s="1" t="s">
        <v>369</v>
      </c>
      <c r="R37" s="1" t="s">
        <v>370</v>
      </c>
      <c r="S37" s="3"/>
      <c r="T37" s="1">
        <v>200000</v>
      </c>
      <c r="U37" s="1" t="s">
        <v>369</v>
      </c>
      <c r="V37" s="1" t="s">
        <v>489</v>
      </c>
      <c r="W37" s="10" t="s">
        <v>370</v>
      </c>
      <c r="X37" s="3"/>
      <c r="Y37" s="1"/>
      <c r="Z37" s="1"/>
      <c r="AA37" s="1"/>
    </row>
    <row r="38" spans="1:27" x14ac:dyDescent="0.25">
      <c r="A38" s="1" t="s">
        <v>65</v>
      </c>
      <c r="B38" s="83"/>
      <c r="C38" s="3">
        <v>200000</v>
      </c>
      <c r="D38" s="1"/>
      <c r="E38" s="1"/>
      <c r="F38" s="3"/>
      <c r="G38" s="25"/>
      <c r="H38" s="3"/>
      <c r="I38" s="39">
        <v>200000</v>
      </c>
      <c r="J38" s="1">
        <v>9872988</v>
      </c>
      <c r="K38" s="3">
        <v>200000</v>
      </c>
      <c r="L38" s="1" t="s">
        <v>16</v>
      </c>
      <c r="M38" s="3"/>
      <c r="N38" s="3"/>
      <c r="O38" s="3"/>
      <c r="P38" s="3">
        <v>200000</v>
      </c>
      <c r="Q38" s="1" t="s">
        <v>150</v>
      </c>
      <c r="R38" s="1" t="s">
        <v>272</v>
      </c>
      <c r="S38" s="3">
        <v>0</v>
      </c>
      <c r="T38" s="1">
        <v>200000</v>
      </c>
      <c r="U38" s="1" t="s">
        <v>329</v>
      </c>
      <c r="V38" s="1" t="s">
        <v>489</v>
      </c>
      <c r="W38" s="10" t="s">
        <v>311</v>
      </c>
      <c r="X38" s="3"/>
      <c r="Y38" s="1"/>
      <c r="Z38" s="1"/>
      <c r="AA38" s="1"/>
    </row>
    <row r="39" spans="1:27" x14ac:dyDescent="0.25">
      <c r="A39" s="1" t="s">
        <v>63</v>
      </c>
      <c r="B39" s="83"/>
      <c r="C39" s="3">
        <v>400000</v>
      </c>
      <c r="D39" s="1"/>
      <c r="E39" s="1"/>
      <c r="F39" s="3"/>
      <c r="G39" s="25"/>
      <c r="H39" s="3"/>
      <c r="I39" s="3">
        <v>400000</v>
      </c>
      <c r="J39" s="1" t="s">
        <v>184</v>
      </c>
      <c r="K39" s="3">
        <v>400000</v>
      </c>
      <c r="L39" s="1" t="s">
        <v>16</v>
      </c>
      <c r="M39" s="3"/>
      <c r="N39" s="3">
        <v>400000</v>
      </c>
      <c r="O39" s="3"/>
      <c r="P39" s="3">
        <v>400000</v>
      </c>
      <c r="Q39" s="1" t="s">
        <v>403</v>
      </c>
      <c r="R39" s="1" t="s">
        <v>404</v>
      </c>
      <c r="S39" s="3"/>
      <c r="T39" s="1">
        <v>400000</v>
      </c>
      <c r="U39" s="1" t="s">
        <v>405</v>
      </c>
      <c r="V39" s="1" t="s">
        <v>489</v>
      </c>
      <c r="W39" s="10" t="s">
        <v>404</v>
      </c>
      <c r="X39" s="3"/>
      <c r="Y39" s="1"/>
      <c r="Z39" s="1"/>
      <c r="AA39" s="1"/>
    </row>
    <row r="40" spans="1:27" x14ac:dyDescent="0.25">
      <c r="A40" s="51" t="s">
        <v>64</v>
      </c>
      <c r="B40" s="83"/>
      <c r="C40" s="3">
        <v>200000</v>
      </c>
      <c r="D40" s="1"/>
      <c r="E40" s="1"/>
      <c r="F40" s="3"/>
      <c r="G40" s="25"/>
      <c r="H40" s="3"/>
      <c r="I40" s="3"/>
      <c r="J40" s="1"/>
      <c r="K40" s="3">
        <v>200000</v>
      </c>
      <c r="L40" s="1" t="s">
        <v>202</v>
      </c>
      <c r="M40" s="3"/>
      <c r="N40" s="3">
        <v>200000</v>
      </c>
      <c r="O40" s="3"/>
      <c r="P40" s="3"/>
      <c r="Q40" s="1"/>
      <c r="R40" s="1" t="s">
        <v>275</v>
      </c>
      <c r="S40" s="3">
        <v>400000</v>
      </c>
      <c r="T40" s="1"/>
      <c r="U40" s="1"/>
      <c r="V40" s="1" t="s">
        <v>490</v>
      </c>
      <c r="W40" s="10" t="s">
        <v>409</v>
      </c>
      <c r="X40" s="3"/>
      <c r="Y40" s="1"/>
      <c r="Z40" s="1"/>
      <c r="AA40" s="1"/>
    </row>
    <row r="41" spans="1:27" x14ac:dyDescent="0.25">
      <c r="A41" s="51" t="s">
        <v>87</v>
      </c>
      <c r="B41" s="83"/>
      <c r="C41" s="3">
        <v>400000</v>
      </c>
      <c r="D41" s="1"/>
      <c r="E41" s="1"/>
      <c r="F41" s="3"/>
      <c r="G41" s="25"/>
      <c r="H41" s="3"/>
      <c r="I41" s="39">
        <v>400000</v>
      </c>
      <c r="J41" s="1" t="s">
        <v>88</v>
      </c>
      <c r="K41" s="3">
        <v>400000</v>
      </c>
      <c r="L41" s="1" t="s">
        <v>16</v>
      </c>
      <c r="M41" s="3"/>
      <c r="N41" s="3"/>
      <c r="O41" s="3"/>
      <c r="P41" s="3">
        <v>400000</v>
      </c>
      <c r="Q41" s="1" t="s">
        <v>430</v>
      </c>
      <c r="R41" s="1" t="s">
        <v>431</v>
      </c>
      <c r="S41" s="3"/>
      <c r="T41" s="1">
        <v>400000</v>
      </c>
      <c r="U41" s="1" t="s">
        <v>430</v>
      </c>
      <c r="V41" s="1" t="s">
        <v>489</v>
      </c>
      <c r="W41" s="10" t="s">
        <v>431</v>
      </c>
      <c r="X41" s="3">
        <v>400000</v>
      </c>
      <c r="Y41" s="1"/>
      <c r="Z41" s="1"/>
      <c r="AA41" s="1"/>
    </row>
    <row r="42" spans="1:27" x14ac:dyDescent="0.25">
      <c r="A42" s="1" t="s">
        <v>301</v>
      </c>
      <c r="B42" s="83"/>
      <c r="C42" s="3">
        <v>400000</v>
      </c>
      <c r="D42" s="1"/>
      <c r="E42" s="1"/>
      <c r="F42" s="3"/>
      <c r="G42" s="25"/>
      <c r="H42" s="3"/>
      <c r="I42" s="39"/>
      <c r="J42" s="1"/>
      <c r="K42" s="3"/>
      <c r="L42" s="1"/>
      <c r="M42" s="3"/>
      <c r="N42" s="3"/>
      <c r="O42" s="3"/>
      <c r="P42" s="3"/>
      <c r="Q42" s="1"/>
      <c r="R42" s="1"/>
      <c r="S42" s="3"/>
      <c r="T42" s="3">
        <v>400000</v>
      </c>
      <c r="U42" s="1" t="s">
        <v>302</v>
      </c>
      <c r="V42" s="1" t="s">
        <v>489</v>
      </c>
      <c r="W42" s="10" t="s">
        <v>272</v>
      </c>
      <c r="X42" s="3"/>
      <c r="Y42" s="1"/>
      <c r="Z42" s="1"/>
      <c r="AA42" s="1"/>
    </row>
    <row r="43" spans="1:27" x14ac:dyDescent="0.25">
      <c r="A43" s="1" t="s">
        <v>312</v>
      </c>
      <c r="B43" s="83"/>
      <c r="C43" s="3">
        <v>400000</v>
      </c>
      <c r="D43" s="1"/>
      <c r="E43" s="1"/>
      <c r="F43" s="3"/>
      <c r="G43" s="25"/>
      <c r="H43" s="3"/>
      <c r="I43" s="39"/>
      <c r="J43" s="1"/>
      <c r="K43" s="3"/>
      <c r="L43" s="1"/>
      <c r="M43" s="3"/>
      <c r="N43" s="3"/>
      <c r="O43" s="3"/>
      <c r="P43" s="3"/>
      <c r="Q43" s="1"/>
      <c r="R43" s="1"/>
      <c r="S43" s="3"/>
      <c r="T43" s="3">
        <v>400000</v>
      </c>
      <c r="U43" s="1" t="s">
        <v>313</v>
      </c>
      <c r="V43" s="1" t="s">
        <v>489</v>
      </c>
      <c r="W43" s="53" t="s">
        <v>272</v>
      </c>
      <c r="X43" s="3"/>
      <c r="Y43" s="1"/>
      <c r="Z43" s="1"/>
      <c r="AA43" s="1"/>
    </row>
    <row r="44" spans="1:27" x14ac:dyDescent="0.25">
      <c r="A44" s="1" t="s">
        <v>89</v>
      </c>
      <c r="B44" s="83"/>
      <c r="C44" s="3">
        <v>1000000</v>
      </c>
      <c r="D44" s="1"/>
      <c r="E44" s="1"/>
      <c r="F44" s="3">
        <v>1000000</v>
      </c>
      <c r="G44" s="25" t="s">
        <v>195</v>
      </c>
      <c r="H44" s="3"/>
      <c r="I44" s="3">
        <v>1000000</v>
      </c>
      <c r="J44" s="1" t="s">
        <v>90</v>
      </c>
      <c r="K44" s="3">
        <v>1000000</v>
      </c>
      <c r="L44" s="1" t="s">
        <v>16</v>
      </c>
      <c r="M44" s="3"/>
      <c r="N44" s="3">
        <v>1000000</v>
      </c>
      <c r="O44" s="3"/>
      <c r="P44" s="3">
        <v>1000000</v>
      </c>
      <c r="Q44" s="1" t="s">
        <v>451</v>
      </c>
      <c r="R44" s="1" t="s">
        <v>449</v>
      </c>
      <c r="S44" s="3"/>
      <c r="T44" s="1">
        <v>1000000</v>
      </c>
      <c r="U44" s="1" t="s">
        <v>450</v>
      </c>
      <c r="V44" s="1" t="s">
        <v>489</v>
      </c>
      <c r="W44" s="10" t="s">
        <v>449</v>
      </c>
      <c r="X44" s="3"/>
      <c r="Y44" s="1"/>
      <c r="Z44" s="1"/>
      <c r="AA44" s="1"/>
    </row>
    <row r="45" spans="1:27" x14ac:dyDescent="0.25">
      <c r="A45" s="2" t="s">
        <v>19</v>
      </c>
      <c r="B45" s="85"/>
      <c r="C45" s="7">
        <v>1000000</v>
      </c>
      <c r="D45" s="2" t="s">
        <v>185</v>
      </c>
      <c r="E45" s="2"/>
      <c r="F45" s="7">
        <v>1000000</v>
      </c>
      <c r="G45" s="26" t="s">
        <v>185</v>
      </c>
      <c r="H45" s="7"/>
      <c r="I45" s="3">
        <v>1000000</v>
      </c>
      <c r="J45" s="1" t="s">
        <v>186</v>
      </c>
      <c r="K45" s="3">
        <v>1000000</v>
      </c>
      <c r="L45" s="2" t="s">
        <v>187</v>
      </c>
      <c r="M45" s="7"/>
      <c r="N45" s="7">
        <v>1000000</v>
      </c>
      <c r="O45" s="7"/>
      <c r="P45" s="3">
        <v>1000000</v>
      </c>
      <c r="Q45" s="1" t="s">
        <v>365</v>
      </c>
      <c r="R45" s="38" t="s">
        <v>272</v>
      </c>
      <c r="S45" s="3">
        <v>0</v>
      </c>
      <c r="T45" s="1">
        <v>1000000</v>
      </c>
      <c r="U45" s="1" t="s">
        <v>365</v>
      </c>
      <c r="V45" s="1" t="s">
        <v>489</v>
      </c>
      <c r="W45" s="10" t="s">
        <v>272</v>
      </c>
      <c r="X45" s="3"/>
      <c r="Y45" s="1"/>
      <c r="Z45" s="1"/>
      <c r="AA45" s="1"/>
    </row>
    <row r="46" spans="1:27" x14ac:dyDescent="0.25">
      <c r="A46" s="51" t="s">
        <v>25</v>
      </c>
      <c r="B46" s="83"/>
      <c r="C46" s="3">
        <v>400000</v>
      </c>
      <c r="D46" s="1"/>
      <c r="E46" s="1"/>
      <c r="F46" s="3"/>
      <c r="G46" s="25"/>
      <c r="H46" s="3"/>
      <c r="I46" s="3">
        <v>400000</v>
      </c>
      <c r="J46" s="1" t="s">
        <v>344</v>
      </c>
      <c r="K46" s="3"/>
      <c r="L46" s="1" t="s">
        <v>345</v>
      </c>
      <c r="M46" s="3"/>
      <c r="N46" s="3"/>
      <c r="O46" s="3"/>
      <c r="P46" s="3">
        <v>400000</v>
      </c>
      <c r="Q46" t="s">
        <v>342</v>
      </c>
      <c r="R46" s="1" t="s">
        <v>343</v>
      </c>
      <c r="S46" s="3"/>
      <c r="T46" s="1">
        <v>400000</v>
      </c>
      <c r="U46" s="1" t="s">
        <v>379</v>
      </c>
      <c r="V46" s="1" t="s">
        <v>489</v>
      </c>
      <c r="W46" s="10" t="s">
        <v>380</v>
      </c>
      <c r="X46" s="3"/>
      <c r="Y46" s="1"/>
      <c r="Z46" s="1"/>
      <c r="AA46" s="1"/>
    </row>
    <row r="47" spans="1:27" x14ac:dyDescent="0.25">
      <c r="A47" s="1" t="s">
        <v>295</v>
      </c>
      <c r="B47" s="83"/>
      <c r="C47" s="3">
        <v>200000</v>
      </c>
      <c r="D47" s="1"/>
      <c r="E47" s="1"/>
      <c r="F47" s="3"/>
      <c r="G47" s="25"/>
      <c r="H47" s="3"/>
      <c r="I47" s="3"/>
      <c r="J47" s="1"/>
      <c r="K47" s="3"/>
      <c r="L47" s="1"/>
      <c r="M47" s="3"/>
      <c r="N47" s="3"/>
      <c r="O47" s="3"/>
      <c r="P47" s="3"/>
      <c r="R47" s="1"/>
      <c r="S47" s="3">
        <v>0</v>
      </c>
      <c r="T47" s="1">
        <v>200000</v>
      </c>
      <c r="U47" s="1" t="s">
        <v>305</v>
      </c>
      <c r="V47" s="1" t="s">
        <v>489</v>
      </c>
      <c r="W47" s="10" t="s">
        <v>272</v>
      </c>
      <c r="X47" s="3"/>
      <c r="Y47" s="1"/>
      <c r="Z47" s="1"/>
      <c r="AA47" s="1"/>
    </row>
    <row r="48" spans="1:27" s="61" customFormat="1" ht="90" x14ac:dyDescent="0.25">
      <c r="A48" s="56" t="s">
        <v>363</v>
      </c>
      <c r="B48" s="88">
        <v>2025</v>
      </c>
      <c r="C48" s="59">
        <v>1000000</v>
      </c>
      <c r="D48" s="56"/>
      <c r="E48" s="56"/>
      <c r="F48" s="59"/>
      <c r="G48" s="60"/>
      <c r="H48" s="59"/>
      <c r="I48" s="59"/>
      <c r="J48" s="56"/>
      <c r="K48" s="59"/>
      <c r="L48" s="56"/>
      <c r="M48" s="59"/>
      <c r="N48" s="59"/>
      <c r="O48" s="59"/>
      <c r="P48" s="59"/>
      <c r="R48" s="56"/>
      <c r="S48" s="59"/>
      <c r="T48" s="56">
        <v>500000</v>
      </c>
      <c r="U48" s="56" t="s">
        <v>371</v>
      </c>
      <c r="V48" s="56" t="s">
        <v>489</v>
      </c>
      <c r="W48" s="53" t="s">
        <v>372</v>
      </c>
      <c r="X48" s="59"/>
      <c r="Y48" s="56"/>
      <c r="Z48" s="56"/>
      <c r="AA48" s="56"/>
    </row>
    <row r="49" spans="1:27" x14ac:dyDescent="0.25">
      <c r="A49" s="1" t="s">
        <v>66</v>
      </c>
      <c r="B49" s="83"/>
      <c r="C49" s="3">
        <v>200000</v>
      </c>
      <c r="D49" s="1" t="s">
        <v>241</v>
      </c>
      <c r="E49" s="1">
        <v>200000</v>
      </c>
      <c r="F49" s="3" t="s">
        <v>251</v>
      </c>
      <c r="G49" s="25"/>
      <c r="H49" s="3"/>
      <c r="I49" s="39">
        <v>200000</v>
      </c>
      <c r="J49" s="1" t="s">
        <v>67</v>
      </c>
      <c r="K49" s="3">
        <v>200000</v>
      </c>
      <c r="L49" s="1" t="s">
        <v>8</v>
      </c>
      <c r="M49" s="3"/>
      <c r="N49" s="3"/>
      <c r="O49" s="3"/>
      <c r="P49" s="3">
        <v>200000</v>
      </c>
      <c r="Q49" s="1" t="s">
        <v>280</v>
      </c>
      <c r="R49" s="1" t="s">
        <v>272</v>
      </c>
      <c r="S49" s="3">
        <v>0</v>
      </c>
      <c r="T49" s="1">
        <v>200000</v>
      </c>
      <c r="U49" s="1" t="s">
        <v>377</v>
      </c>
      <c r="V49" s="1" t="s">
        <v>489</v>
      </c>
      <c r="W49" s="10" t="s">
        <v>272</v>
      </c>
      <c r="X49" s="3"/>
      <c r="Y49" s="1"/>
      <c r="Z49" s="1"/>
      <c r="AA49" s="1"/>
    </row>
    <row r="50" spans="1:27" x14ac:dyDescent="0.25">
      <c r="A50" s="1" t="s">
        <v>91</v>
      </c>
      <c r="B50" s="83">
        <v>2023</v>
      </c>
      <c r="C50" s="3">
        <v>400000</v>
      </c>
      <c r="D50" s="1"/>
      <c r="E50" s="1"/>
      <c r="F50" s="3"/>
      <c r="G50" s="25"/>
      <c r="H50" s="3"/>
      <c r="I50" s="39">
        <v>400000</v>
      </c>
      <c r="J50" s="1" t="s">
        <v>92</v>
      </c>
      <c r="K50" s="3">
        <v>400000</v>
      </c>
      <c r="L50" s="1" t="s">
        <v>93</v>
      </c>
      <c r="M50" s="3"/>
      <c r="N50" s="3"/>
      <c r="O50" s="3"/>
      <c r="P50" s="3">
        <v>400000</v>
      </c>
      <c r="Q50" s="1" t="s">
        <v>437</v>
      </c>
      <c r="R50" s="1" t="s">
        <v>438</v>
      </c>
      <c r="S50" s="3"/>
      <c r="T50" s="1">
        <v>400000</v>
      </c>
      <c r="U50" s="1" t="s">
        <v>437</v>
      </c>
      <c r="V50" s="1" t="s">
        <v>489</v>
      </c>
      <c r="W50" s="10" t="s">
        <v>439</v>
      </c>
      <c r="X50" s="3"/>
      <c r="Y50" s="1"/>
      <c r="Z50" s="1"/>
      <c r="AA50" s="1"/>
    </row>
    <row r="51" spans="1:27" x14ac:dyDescent="0.25">
      <c r="A51" s="2" t="s">
        <v>20</v>
      </c>
      <c r="B51" s="85"/>
      <c r="C51" s="7">
        <v>200000</v>
      </c>
      <c r="D51" s="2"/>
      <c r="E51" s="2"/>
      <c r="F51" s="7"/>
      <c r="G51" s="26"/>
      <c r="H51" s="7"/>
      <c r="I51" s="3">
        <v>200000</v>
      </c>
      <c r="J51" s="1" t="s">
        <v>21</v>
      </c>
      <c r="K51" s="3">
        <v>200000</v>
      </c>
      <c r="L51" s="2" t="s">
        <v>138</v>
      </c>
      <c r="M51" s="7">
        <v>200000</v>
      </c>
      <c r="N51" s="7">
        <v>200000</v>
      </c>
      <c r="O51" s="7">
        <v>400000</v>
      </c>
      <c r="P51" s="3">
        <v>200000</v>
      </c>
      <c r="Q51" s="1" t="s">
        <v>21</v>
      </c>
      <c r="R51" s="1" t="s">
        <v>272</v>
      </c>
      <c r="S51" s="3">
        <v>0</v>
      </c>
      <c r="T51" s="1"/>
      <c r="U51" s="1"/>
      <c r="V51" s="1" t="s">
        <v>490</v>
      </c>
      <c r="W51" s="10" t="s">
        <v>411</v>
      </c>
      <c r="X51" s="3"/>
      <c r="Y51" s="1"/>
      <c r="Z51" s="1"/>
      <c r="AA51" s="1"/>
    </row>
    <row r="52" spans="1:27" x14ac:dyDescent="0.25">
      <c r="A52" s="1" t="s">
        <v>132</v>
      </c>
      <c r="B52" s="84"/>
      <c r="C52" s="6">
        <v>400000</v>
      </c>
      <c r="D52" s="1"/>
      <c r="E52" s="1"/>
      <c r="F52" s="6"/>
      <c r="G52" s="27"/>
      <c r="H52" s="6"/>
      <c r="I52" s="3"/>
      <c r="J52" s="1"/>
      <c r="K52" s="3">
        <v>400000</v>
      </c>
      <c r="L52" s="1" t="s">
        <v>133</v>
      </c>
      <c r="M52" s="3">
        <v>2400000</v>
      </c>
      <c r="N52" s="3">
        <v>400000</v>
      </c>
      <c r="O52" s="3"/>
      <c r="P52" s="3"/>
      <c r="Q52" s="1"/>
      <c r="R52" s="1" t="s">
        <v>281</v>
      </c>
      <c r="S52" s="3">
        <v>3200000</v>
      </c>
      <c r="T52" s="1"/>
      <c r="U52" s="1"/>
      <c r="V52" s="1" t="s">
        <v>490</v>
      </c>
      <c r="W52" s="10"/>
      <c r="X52" s="3"/>
      <c r="Y52" s="1"/>
      <c r="Z52" s="1"/>
      <c r="AA52" s="1"/>
    </row>
    <row r="53" spans="1:27" x14ac:dyDescent="0.25">
      <c r="A53" s="51" t="s">
        <v>110</v>
      </c>
      <c r="B53" s="83"/>
      <c r="C53" s="3">
        <v>400000</v>
      </c>
      <c r="D53" s="1"/>
      <c r="E53" s="1"/>
      <c r="F53" s="3"/>
      <c r="G53" s="25"/>
      <c r="H53" s="3"/>
      <c r="I53" s="3"/>
      <c r="J53" s="1"/>
      <c r="K53" s="3">
        <v>400000</v>
      </c>
      <c r="L53" s="1" t="s">
        <v>203</v>
      </c>
      <c r="M53" s="3">
        <v>400000</v>
      </c>
      <c r="N53" s="3">
        <v>400000</v>
      </c>
      <c r="O53" s="3"/>
      <c r="P53" s="3"/>
      <c r="Q53" s="1"/>
      <c r="R53" s="1" t="s">
        <v>282</v>
      </c>
      <c r="S53" s="3">
        <v>1200000</v>
      </c>
      <c r="T53" s="1"/>
      <c r="U53" s="1"/>
      <c r="V53" s="1" t="s">
        <v>490</v>
      </c>
      <c r="W53" s="10" t="s">
        <v>412</v>
      </c>
      <c r="X53" s="3"/>
      <c r="Y53" s="1"/>
      <c r="Z53" s="1"/>
      <c r="AA53" s="1"/>
    </row>
    <row r="54" spans="1:27" x14ac:dyDescent="0.25">
      <c r="A54" s="1" t="s">
        <v>94</v>
      </c>
      <c r="B54" s="83"/>
      <c r="C54" s="3">
        <v>200000</v>
      </c>
      <c r="D54" s="1"/>
      <c r="E54" s="1"/>
      <c r="F54" s="3"/>
      <c r="G54" s="25"/>
      <c r="H54" s="3"/>
      <c r="I54" s="3">
        <v>200000</v>
      </c>
      <c r="J54" s="1" t="s">
        <v>442</v>
      </c>
      <c r="K54" s="3">
        <v>200000</v>
      </c>
      <c r="L54" s="1" t="s">
        <v>443</v>
      </c>
      <c r="M54" s="3">
        <v>200000</v>
      </c>
      <c r="N54" s="3">
        <v>200000</v>
      </c>
      <c r="O54" s="3"/>
      <c r="P54" s="3">
        <v>200000</v>
      </c>
      <c r="Q54" s="1" t="s">
        <v>444</v>
      </c>
      <c r="R54" s="1" t="s">
        <v>443</v>
      </c>
      <c r="S54" s="3"/>
      <c r="T54" s="1">
        <v>200000</v>
      </c>
      <c r="U54" s="1" t="s">
        <v>445</v>
      </c>
      <c r="V54" s="1" t="s">
        <v>489</v>
      </c>
      <c r="W54" s="10" t="s">
        <v>443</v>
      </c>
      <c r="X54" s="3"/>
      <c r="Y54" s="1"/>
      <c r="Z54" s="1"/>
      <c r="AA54" s="1"/>
    </row>
    <row r="55" spans="1:27" x14ac:dyDescent="0.25">
      <c r="A55" s="1" t="s">
        <v>68</v>
      </c>
      <c r="B55" s="83"/>
      <c r="C55" s="3">
        <v>1000000</v>
      </c>
      <c r="D55" s="1"/>
      <c r="E55" s="1"/>
      <c r="F55" s="39">
        <v>1000000</v>
      </c>
      <c r="G55" s="1" t="s">
        <v>147</v>
      </c>
      <c r="H55" s="3" t="s">
        <v>260</v>
      </c>
      <c r="I55" s="39">
        <v>1000000</v>
      </c>
      <c r="J55" s="1" t="s">
        <v>146</v>
      </c>
      <c r="K55" s="3">
        <v>1000000</v>
      </c>
      <c r="L55" s="1" t="s">
        <v>261</v>
      </c>
      <c r="M55" s="3"/>
      <c r="N55" s="3"/>
      <c r="O55" s="3"/>
      <c r="P55" s="3">
        <v>1000000</v>
      </c>
      <c r="Q55" s="1" t="s">
        <v>265</v>
      </c>
      <c r="R55" s="1" t="s">
        <v>16</v>
      </c>
      <c r="S55" s="3">
        <v>0</v>
      </c>
      <c r="T55" s="1">
        <v>1000000</v>
      </c>
      <c r="U55" s="1" t="s">
        <v>271</v>
      </c>
      <c r="V55" s="1" t="s">
        <v>489</v>
      </c>
      <c r="W55" s="10" t="s">
        <v>272</v>
      </c>
      <c r="X55" s="3"/>
      <c r="Y55" s="1"/>
      <c r="Z55" s="1"/>
      <c r="AA55" s="1"/>
    </row>
    <row r="56" spans="1:27" x14ac:dyDescent="0.25">
      <c r="A56" s="1" t="s">
        <v>367</v>
      </c>
      <c r="B56" s="83">
        <v>2025</v>
      </c>
      <c r="C56" s="3">
        <v>200000</v>
      </c>
      <c r="D56" s="1"/>
      <c r="E56" s="1"/>
      <c r="F56" s="39"/>
      <c r="G56" s="1"/>
      <c r="H56" s="3"/>
      <c r="I56" s="39"/>
      <c r="J56" s="1"/>
      <c r="K56" s="3"/>
      <c r="L56" s="1"/>
      <c r="M56" s="3"/>
      <c r="N56" s="3"/>
      <c r="O56" s="3"/>
      <c r="P56" s="3"/>
      <c r="Q56" s="1"/>
      <c r="R56" s="1"/>
      <c r="S56" s="3"/>
      <c r="T56" s="1">
        <v>200000</v>
      </c>
      <c r="U56" s="1" t="s">
        <v>446</v>
      </c>
      <c r="V56" s="1" t="s">
        <v>489</v>
      </c>
      <c r="W56" s="10" t="s">
        <v>447</v>
      </c>
      <c r="X56" s="3"/>
      <c r="Y56" s="1"/>
      <c r="Z56" s="1"/>
      <c r="AA56" s="1"/>
    </row>
    <row r="57" spans="1:27" x14ac:dyDescent="0.25">
      <c r="A57" s="51" t="s">
        <v>46</v>
      </c>
      <c r="B57" s="83"/>
      <c r="C57" s="3">
        <v>200000</v>
      </c>
      <c r="D57" s="1"/>
      <c r="E57" s="1"/>
      <c r="F57" s="3"/>
      <c r="G57" s="25"/>
      <c r="H57" s="3"/>
      <c r="I57" s="3"/>
      <c r="J57" s="1"/>
      <c r="K57" s="3">
        <v>200000</v>
      </c>
      <c r="L57" s="1" t="s">
        <v>211</v>
      </c>
      <c r="M57" s="3"/>
      <c r="N57" s="3">
        <v>200000</v>
      </c>
      <c r="O57" s="3"/>
      <c r="P57" s="3"/>
      <c r="Q57" s="1"/>
      <c r="R57" s="1" t="s">
        <v>275</v>
      </c>
      <c r="S57" s="3">
        <v>400000</v>
      </c>
      <c r="T57" s="1"/>
      <c r="U57" s="1"/>
      <c r="V57" s="1" t="s">
        <v>490</v>
      </c>
      <c r="W57" s="10" t="s">
        <v>409</v>
      </c>
      <c r="X57" s="3"/>
      <c r="Y57" s="1"/>
      <c r="Z57" s="1"/>
      <c r="AA57" s="1"/>
    </row>
    <row r="58" spans="1:27" ht="30" x14ac:dyDescent="0.25">
      <c r="A58" s="51" t="s">
        <v>69</v>
      </c>
      <c r="B58" s="83"/>
      <c r="C58" s="3">
        <v>1000000</v>
      </c>
      <c r="D58" s="1"/>
      <c r="E58" s="1"/>
      <c r="F58" s="3"/>
      <c r="G58" s="25"/>
      <c r="H58" s="3"/>
      <c r="I58" s="39">
        <v>1000000</v>
      </c>
      <c r="J58" s="1" t="s">
        <v>70</v>
      </c>
      <c r="K58" s="3">
        <v>1000000</v>
      </c>
      <c r="L58" s="1" t="s">
        <v>16</v>
      </c>
      <c r="M58" s="3"/>
      <c r="N58" s="3"/>
      <c r="O58" s="3"/>
      <c r="P58" s="3"/>
      <c r="Q58" s="1"/>
      <c r="R58" s="1" t="s">
        <v>276</v>
      </c>
      <c r="S58" s="3">
        <v>1000000</v>
      </c>
      <c r="T58" s="1"/>
      <c r="U58" s="1"/>
      <c r="V58" s="1" t="s">
        <v>489</v>
      </c>
      <c r="W58" s="10" t="s">
        <v>493</v>
      </c>
      <c r="X58" s="3"/>
      <c r="Y58" s="1"/>
      <c r="Z58" s="1"/>
      <c r="AA58" s="1"/>
    </row>
    <row r="59" spans="1:27" x14ac:dyDescent="0.25">
      <c r="A59" s="1" t="s">
        <v>296</v>
      </c>
      <c r="B59" s="83"/>
      <c r="C59" s="3">
        <v>400000</v>
      </c>
      <c r="D59" s="1"/>
      <c r="E59" s="1"/>
      <c r="F59" s="3"/>
      <c r="G59" s="25"/>
      <c r="H59" s="3"/>
      <c r="I59" s="39"/>
      <c r="J59" s="1"/>
      <c r="K59" s="3"/>
      <c r="L59" s="1"/>
      <c r="M59" s="3"/>
      <c r="N59" s="3"/>
      <c r="O59" s="3"/>
      <c r="P59" s="3"/>
      <c r="Q59" s="1"/>
      <c r="R59" s="1"/>
      <c r="S59" s="3">
        <v>0</v>
      </c>
      <c r="T59" s="1">
        <v>400000</v>
      </c>
      <c r="U59" s="1" t="s">
        <v>297</v>
      </c>
      <c r="V59" s="1" t="s">
        <v>489</v>
      </c>
      <c r="W59" s="10" t="s">
        <v>298</v>
      </c>
      <c r="X59" s="3"/>
      <c r="Y59" s="1"/>
      <c r="Z59" s="1"/>
      <c r="AA59" s="1"/>
    </row>
    <row r="60" spans="1:27" ht="30" x14ac:dyDescent="0.25">
      <c r="A60" s="12" t="s">
        <v>154</v>
      </c>
      <c r="B60" s="86"/>
      <c r="C60" s="13">
        <v>400000</v>
      </c>
      <c r="D60" s="12"/>
      <c r="E60" s="12"/>
      <c r="F60" s="13">
        <v>400000</v>
      </c>
      <c r="G60" s="28" t="s">
        <v>229</v>
      </c>
      <c r="H60" s="13" t="s">
        <v>230</v>
      </c>
      <c r="I60" s="13">
        <v>400000</v>
      </c>
      <c r="J60" s="12" t="s">
        <v>229</v>
      </c>
      <c r="K60" s="13">
        <v>400000</v>
      </c>
      <c r="L60" s="12" t="s">
        <v>16</v>
      </c>
      <c r="M60" s="3">
        <v>400000</v>
      </c>
      <c r="N60" s="3">
        <v>400000</v>
      </c>
      <c r="O60" s="3">
        <v>800000</v>
      </c>
      <c r="P60" s="3">
        <v>400000</v>
      </c>
      <c r="Q60" s="1" t="s">
        <v>229</v>
      </c>
      <c r="R60" s="10" t="s">
        <v>257</v>
      </c>
      <c r="S60" s="50">
        <v>0</v>
      </c>
      <c r="T60" s="1">
        <v>400000</v>
      </c>
      <c r="U60" s="1" t="s">
        <v>440</v>
      </c>
      <c r="V60" s="1" t="s">
        <v>489</v>
      </c>
      <c r="W60" s="10" t="s">
        <v>441</v>
      </c>
      <c r="X60" s="3"/>
      <c r="Y60" s="1"/>
      <c r="Z60" s="1"/>
      <c r="AA60" s="1"/>
    </row>
    <row r="61" spans="1:27" ht="30" x14ac:dyDescent="0.25">
      <c r="A61" s="1" t="s">
        <v>112</v>
      </c>
      <c r="B61" s="83"/>
      <c r="C61" s="3">
        <v>1000000</v>
      </c>
      <c r="D61" s="1"/>
      <c r="E61" s="1"/>
      <c r="F61" s="3"/>
      <c r="G61" s="25"/>
      <c r="H61" s="3"/>
      <c r="I61" s="3"/>
      <c r="J61" s="1"/>
      <c r="K61" s="3"/>
      <c r="L61" s="1" t="s">
        <v>115</v>
      </c>
      <c r="M61" s="3"/>
      <c r="N61" s="3"/>
      <c r="O61" s="3"/>
      <c r="P61" s="3">
        <v>1000000</v>
      </c>
      <c r="Q61" s="1">
        <v>7033143</v>
      </c>
      <c r="R61" s="1" t="s">
        <v>42</v>
      </c>
      <c r="S61" s="3">
        <v>0</v>
      </c>
      <c r="T61" s="1"/>
      <c r="U61" s="1"/>
      <c r="V61" s="1" t="s">
        <v>490</v>
      </c>
      <c r="W61" s="10" t="s">
        <v>413</v>
      </c>
      <c r="X61" s="3"/>
      <c r="Y61" s="1"/>
      <c r="Z61" s="1"/>
      <c r="AA61" s="1"/>
    </row>
    <row r="62" spans="1:27" x14ac:dyDescent="0.25">
      <c r="A62" s="51" t="s">
        <v>71</v>
      </c>
      <c r="B62" s="83"/>
      <c r="C62" s="3">
        <v>400000</v>
      </c>
      <c r="D62" s="1" t="s">
        <v>169</v>
      </c>
      <c r="F62" s="1">
        <v>400000</v>
      </c>
      <c r="G62" s="3" t="s">
        <v>243</v>
      </c>
      <c r="H62" s="3"/>
      <c r="I62" s="39">
        <v>400000</v>
      </c>
      <c r="J62" s="1" t="s">
        <v>123</v>
      </c>
      <c r="K62" s="3">
        <v>400000</v>
      </c>
      <c r="L62" s="1" t="s">
        <v>16</v>
      </c>
      <c r="M62" s="3"/>
      <c r="N62" s="3"/>
      <c r="O62" s="3"/>
      <c r="P62" s="3"/>
      <c r="Q62" s="1"/>
      <c r="R62" s="1" t="s">
        <v>276</v>
      </c>
      <c r="S62" s="3">
        <v>400000</v>
      </c>
      <c r="T62" s="1"/>
      <c r="U62" s="1"/>
      <c r="V62" s="1" t="s">
        <v>490</v>
      </c>
      <c r="W62" s="10" t="s">
        <v>410</v>
      </c>
      <c r="X62" s="3"/>
      <c r="Y62" s="1"/>
      <c r="Z62" s="1"/>
      <c r="AA62" s="1"/>
    </row>
    <row r="63" spans="1:27" ht="30" x14ac:dyDescent="0.25">
      <c r="A63" s="1" t="s">
        <v>107</v>
      </c>
      <c r="B63" s="83"/>
      <c r="C63" s="3">
        <v>1000000</v>
      </c>
      <c r="D63" s="1"/>
      <c r="E63" s="1"/>
      <c r="F63" s="3"/>
      <c r="G63" s="25"/>
      <c r="H63" s="3"/>
      <c r="I63" s="39">
        <v>1000000</v>
      </c>
      <c r="J63" s="1">
        <v>9819250</v>
      </c>
      <c r="K63" s="3">
        <v>1000000</v>
      </c>
      <c r="L63" s="1" t="s">
        <v>16</v>
      </c>
      <c r="M63" s="3"/>
      <c r="N63" s="3"/>
      <c r="O63" s="3"/>
      <c r="P63" s="3">
        <v>1000000</v>
      </c>
      <c r="Q63" s="1">
        <v>72075639</v>
      </c>
      <c r="R63" s="52" t="s">
        <v>283</v>
      </c>
      <c r="S63" s="3">
        <v>0</v>
      </c>
      <c r="T63" s="1"/>
      <c r="U63" s="1"/>
      <c r="V63" s="1" t="s">
        <v>490</v>
      </c>
      <c r="W63" s="10" t="s">
        <v>414</v>
      </c>
      <c r="X63" s="3"/>
      <c r="Y63" s="1"/>
      <c r="Z63" s="1"/>
      <c r="AA63" s="1"/>
    </row>
    <row r="64" spans="1:27" x14ac:dyDescent="0.25">
      <c r="A64" s="1" t="s">
        <v>346</v>
      </c>
      <c r="B64" s="83">
        <v>2025</v>
      </c>
      <c r="C64" s="3">
        <v>400000</v>
      </c>
      <c r="D64" s="1"/>
      <c r="E64" s="1"/>
      <c r="F64" s="3"/>
      <c r="G64" s="25"/>
      <c r="H64" s="3"/>
      <c r="I64" s="39"/>
      <c r="J64" s="1"/>
      <c r="K64" s="3"/>
      <c r="L64" s="1"/>
      <c r="M64" s="3"/>
      <c r="N64" s="3"/>
      <c r="O64" s="3"/>
      <c r="P64" s="3"/>
      <c r="Q64" s="1"/>
      <c r="R64" s="52"/>
      <c r="S64" s="3"/>
      <c r="T64" s="1">
        <v>400000</v>
      </c>
      <c r="U64" s="1" t="s">
        <v>347</v>
      </c>
      <c r="V64" s="1" t="s">
        <v>489</v>
      </c>
      <c r="W64" s="10" t="s">
        <v>348</v>
      </c>
      <c r="X64" s="3"/>
      <c r="Y64" s="1"/>
      <c r="Z64" s="1"/>
      <c r="AA64" s="1"/>
    </row>
    <row r="65" spans="1:27" ht="30" x14ac:dyDescent="0.25">
      <c r="A65" s="51" t="s">
        <v>22</v>
      </c>
      <c r="B65" s="83"/>
      <c r="C65" s="3">
        <v>400000</v>
      </c>
      <c r="D65" s="1"/>
      <c r="E65" s="1"/>
      <c r="F65" s="3"/>
      <c r="G65" s="25"/>
      <c r="H65" s="3"/>
      <c r="I65" s="3"/>
      <c r="J65" s="1"/>
      <c r="K65" s="3">
        <v>400000</v>
      </c>
      <c r="L65" s="1" t="s">
        <v>212</v>
      </c>
      <c r="M65" s="3"/>
      <c r="N65" s="3">
        <v>400000</v>
      </c>
      <c r="O65" s="3"/>
      <c r="P65" s="1"/>
      <c r="Q65" s="1"/>
      <c r="R65" s="1" t="s">
        <v>290</v>
      </c>
      <c r="S65" s="3">
        <v>800000</v>
      </c>
      <c r="T65" s="1"/>
      <c r="U65" s="1"/>
      <c r="V65" s="1" t="s">
        <v>490</v>
      </c>
      <c r="W65" s="10" t="s">
        <v>415</v>
      </c>
      <c r="X65" s="3"/>
      <c r="Y65" s="1"/>
      <c r="Z65" s="1"/>
      <c r="AA65" s="1"/>
    </row>
    <row r="66" spans="1:27" x14ac:dyDescent="0.25">
      <c r="A66" s="51" t="s">
        <v>23</v>
      </c>
      <c r="B66" s="83"/>
      <c r="C66" s="3">
        <v>1000000</v>
      </c>
      <c r="D66" s="1"/>
      <c r="E66" s="1"/>
      <c r="F66" s="3"/>
      <c r="G66" s="25"/>
      <c r="H66" s="3"/>
      <c r="I66" s="3">
        <v>1000000</v>
      </c>
      <c r="J66" s="1" t="s">
        <v>459</v>
      </c>
      <c r="K66" s="3">
        <v>1000000</v>
      </c>
      <c r="L66" s="1" t="s">
        <v>460</v>
      </c>
      <c r="M66" s="3"/>
      <c r="N66" s="3">
        <v>1000000</v>
      </c>
      <c r="O66" s="3"/>
      <c r="P66" s="3">
        <v>1000000</v>
      </c>
      <c r="Q66" s="1" t="s">
        <v>459</v>
      </c>
      <c r="R66" s="1" t="s">
        <v>460</v>
      </c>
      <c r="S66" s="3"/>
      <c r="T66" s="1">
        <v>1000000</v>
      </c>
      <c r="U66" s="1" t="s">
        <v>459</v>
      </c>
      <c r="V66" s="1" t="s">
        <v>489</v>
      </c>
      <c r="W66" s="10" t="s">
        <v>461</v>
      </c>
      <c r="X66" s="3"/>
      <c r="Y66" s="1"/>
      <c r="Z66" s="1"/>
      <c r="AA66" s="1"/>
    </row>
    <row r="67" spans="1:27" ht="30" x14ac:dyDescent="0.25">
      <c r="A67" s="1" t="s">
        <v>72</v>
      </c>
      <c r="B67" s="83"/>
      <c r="C67" s="3">
        <v>200000</v>
      </c>
      <c r="D67" s="1"/>
      <c r="E67" s="1"/>
      <c r="F67" s="3"/>
      <c r="G67" s="25"/>
      <c r="H67" s="3"/>
      <c r="I67" s="3"/>
      <c r="J67" s="1"/>
      <c r="K67" s="3">
        <v>200000</v>
      </c>
      <c r="L67" s="1" t="s">
        <v>116</v>
      </c>
      <c r="M67" s="3">
        <v>600000</v>
      </c>
      <c r="N67" s="3">
        <v>200000</v>
      </c>
      <c r="O67" s="3"/>
      <c r="P67" s="1"/>
      <c r="Q67" s="1"/>
      <c r="R67" s="1" t="s">
        <v>284</v>
      </c>
      <c r="S67" s="3">
        <v>1000000</v>
      </c>
      <c r="T67" s="1"/>
      <c r="U67" s="1"/>
      <c r="V67" s="1" t="s">
        <v>490</v>
      </c>
      <c r="W67" s="66" t="s">
        <v>416</v>
      </c>
      <c r="X67" s="3"/>
      <c r="Y67" s="1"/>
      <c r="Z67" s="1"/>
      <c r="AA67" s="1"/>
    </row>
    <row r="68" spans="1:27" ht="30" x14ac:dyDescent="0.25">
      <c r="A68" s="1" t="s">
        <v>306</v>
      </c>
      <c r="B68" s="83"/>
      <c r="C68" s="3">
        <v>400000</v>
      </c>
      <c r="D68" s="1"/>
      <c r="E68" s="1"/>
      <c r="F68" s="3"/>
      <c r="G68" s="25"/>
      <c r="H68" s="3"/>
      <c r="I68" s="3">
        <v>400000</v>
      </c>
      <c r="J68" s="1" t="s">
        <v>462</v>
      </c>
      <c r="K68" s="3"/>
      <c r="L68" s="1" t="s">
        <v>463</v>
      </c>
      <c r="M68" s="3"/>
      <c r="N68" s="3"/>
      <c r="O68" s="3"/>
      <c r="P68" s="1">
        <v>400000</v>
      </c>
      <c r="Q68" s="1" t="s">
        <v>462</v>
      </c>
      <c r="R68" s="1" t="s">
        <v>463</v>
      </c>
      <c r="S68" s="3"/>
      <c r="T68" s="1">
        <v>400000</v>
      </c>
      <c r="U68" s="1" t="s">
        <v>462</v>
      </c>
      <c r="V68" s="1" t="s">
        <v>490</v>
      </c>
      <c r="W68" s="10" t="s">
        <v>491</v>
      </c>
      <c r="X68" s="3"/>
      <c r="Y68" s="1"/>
      <c r="Z68" s="1"/>
      <c r="AA68" s="1"/>
    </row>
    <row r="69" spans="1:27" ht="45" x14ac:dyDescent="0.25">
      <c r="A69" s="1" t="s">
        <v>47</v>
      </c>
      <c r="B69" s="83"/>
      <c r="C69" s="3">
        <v>200000</v>
      </c>
      <c r="D69" s="1"/>
      <c r="E69" s="1"/>
      <c r="F69" s="3"/>
      <c r="G69" s="25"/>
      <c r="H69" s="3"/>
      <c r="I69" s="3"/>
      <c r="J69" s="1"/>
      <c r="K69" s="3">
        <v>200000</v>
      </c>
      <c r="L69" s="1" t="s">
        <v>116</v>
      </c>
      <c r="M69" s="3">
        <v>600000</v>
      </c>
      <c r="N69" s="3">
        <v>200000</v>
      </c>
      <c r="O69" s="3"/>
      <c r="P69" s="1"/>
      <c r="Q69" s="1"/>
      <c r="R69" s="5" t="s">
        <v>308</v>
      </c>
      <c r="S69" s="8">
        <v>800000</v>
      </c>
      <c r="T69" s="1"/>
      <c r="U69" s="1"/>
      <c r="V69" s="1" t="s">
        <v>490</v>
      </c>
      <c r="W69" s="10" t="s">
        <v>417</v>
      </c>
      <c r="X69" s="3"/>
      <c r="Y69" s="1"/>
      <c r="Z69" s="1"/>
      <c r="AA69" s="1"/>
    </row>
    <row r="70" spans="1:27" x14ac:dyDescent="0.25">
      <c r="A70" s="1" t="s">
        <v>24</v>
      </c>
      <c r="B70" s="83"/>
      <c r="C70" s="3">
        <v>1000000</v>
      </c>
      <c r="D70" s="1"/>
      <c r="E70" s="1"/>
      <c r="F70" s="3"/>
      <c r="G70" s="25"/>
      <c r="H70" s="3"/>
      <c r="I70" s="3"/>
      <c r="J70" s="1"/>
      <c r="K70" s="3">
        <v>1000000</v>
      </c>
      <c r="L70" s="1" t="s">
        <v>213</v>
      </c>
      <c r="M70" s="3">
        <v>1000000</v>
      </c>
      <c r="N70" s="3">
        <v>1000000</v>
      </c>
      <c r="O70" s="3"/>
      <c r="P70" s="1"/>
      <c r="Q70" s="1"/>
      <c r="R70" s="1" t="s">
        <v>282</v>
      </c>
      <c r="S70" s="3">
        <v>3000000</v>
      </c>
      <c r="T70" s="1"/>
      <c r="U70" s="1"/>
      <c r="V70" s="1" t="s">
        <v>490</v>
      </c>
      <c r="W70" s="10" t="s">
        <v>418</v>
      </c>
      <c r="X70" s="3"/>
      <c r="Y70" s="1"/>
      <c r="Z70" s="1"/>
      <c r="AA70" s="1"/>
    </row>
    <row r="71" spans="1:27" x14ac:dyDescent="0.25">
      <c r="A71" s="1" t="s">
        <v>368</v>
      </c>
      <c r="B71" s="83">
        <v>2025</v>
      </c>
      <c r="C71" s="3">
        <v>200000</v>
      </c>
      <c r="D71" s="1"/>
      <c r="E71" s="1"/>
      <c r="F71" s="3"/>
      <c r="G71" s="25"/>
      <c r="H71" s="3"/>
      <c r="I71" s="3"/>
      <c r="J71" s="1"/>
      <c r="K71" s="3"/>
      <c r="L71" s="1"/>
      <c r="M71" s="3"/>
      <c r="N71" s="3"/>
      <c r="O71" s="3"/>
      <c r="P71" s="1"/>
      <c r="Q71" s="1"/>
      <c r="R71" s="1"/>
      <c r="S71" s="3"/>
      <c r="T71" s="1">
        <v>200000</v>
      </c>
      <c r="U71" s="1" t="s">
        <v>375</v>
      </c>
      <c r="V71" s="1" t="s">
        <v>489</v>
      </c>
      <c r="W71" s="10" t="s">
        <v>376</v>
      </c>
      <c r="X71" s="3"/>
      <c r="Y71" s="1"/>
      <c r="Z71" s="1"/>
      <c r="AA71" s="1"/>
    </row>
    <row r="72" spans="1:27" x14ac:dyDescent="0.25">
      <c r="A72" s="1" t="s">
        <v>73</v>
      </c>
      <c r="B72" s="83"/>
      <c r="C72" s="3">
        <v>200000</v>
      </c>
      <c r="D72" s="1"/>
      <c r="E72" s="1"/>
      <c r="F72" s="3"/>
      <c r="G72" s="25"/>
      <c r="H72" s="3"/>
      <c r="I72" s="3"/>
      <c r="J72" s="1"/>
      <c r="K72" s="3">
        <v>200000</v>
      </c>
      <c r="L72" s="1" t="s">
        <v>214</v>
      </c>
      <c r="M72" s="3"/>
      <c r="N72" s="3">
        <v>0</v>
      </c>
      <c r="O72" s="3"/>
      <c r="P72" s="1">
        <v>200000</v>
      </c>
      <c r="Q72" s="1" t="s">
        <v>334</v>
      </c>
      <c r="R72" s="57" t="s">
        <v>333</v>
      </c>
      <c r="S72" s="3">
        <v>600000</v>
      </c>
      <c r="T72" s="1">
        <v>200000</v>
      </c>
      <c r="U72" s="1" t="s">
        <v>430</v>
      </c>
      <c r="V72" s="1" t="s">
        <v>489</v>
      </c>
      <c r="W72" s="10" t="s">
        <v>431</v>
      </c>
      <c r="X72" s="3"/>
      <c r="Y72" s="1"/>
      <c r="Z72" s="1"/>
      <c r="AA72" s="1"/>
    </row>
    <row r="73" spans="1:27" x14ac:dyDescent="0.25">
      <c r="A73" s="1" t="s">
        <v>476</v>
      </c>
      <c r="B73" s="83">
        <v>2026</v>
      </c>
      <c r="C73" s="3">
        <v>200000</v>
      </c>
      <c r="D73" s="1"/>
      <c r="E73" s="1"/>
      <c r="F73" s="3"/>
      <c r="G73" s="25"/>
      <c r="H73" s="3"/>
      <c r="I73" s="3"/>
      <c r="J73" s="1"/>
      <c r="K73" s="3"/>
      <c r="L73" s="1"/>
      <c r="M73" s="3"/>
      <c r="N73" s="3"/>
      <c r="O73" s="3"/>
      <c r="P73" s="1"/>
      <c r="Q73" s="1"/>
      <c r="R73" s="57"/>
      <c r="S73" s="3"/>
      <c r="T73" s="1"/>
      <c r="U73" s="1"/>
      <c r="V73" s="1"/>
      <c r="W73" s="10"/>
      <c r="X73" s="3">
        <v>200000</v>
      </c>
      <c r="Y73" s="1" t="s">
        <v>477</v>
      </c>
      <c r="Z73" s="1" t="s">
        <v>489</v>
      </c>
      <c r="AA73" s="1" t="s">
        <v>478</v>
      </c>
    </row>
    <row r="74" spans="1:27" ht="30" x14ac:dyDescent="0.25">
      <c r="A74" s="1" t="s">
        <v>108</v>
      </c>
      <c r="B74" s="83"/>
      <c r="C74" s="3">
        <v>1000000</v>
      </c>
      <c r="D74" s="1"/>
      <c r="E74" s="1"/>
      <c r="F74" s="3">
        <v>1000000</v>
      </c>
      <c r="G74" s="25" t="s">
        <v>204</v>
      </c>
      <c r="H74" s="3"/>
      <c r="I74" s="39">
        <v>1000000</v>
      </c>
      <c r="J74" s="1" t="s">
        <v>109</v>
      </c>
      <c r="K74" s="3">
        <v>1000000</v>
      </c>
      <c r="L74" s="1" t="s">
        <v>16</v>
      </c>
      <c r="M74" s="3"/>
      <c r="N74" s="3"/>
      <c r="O74" s="3"/>
      <c r="P74" s="1">
        <v>1000000</v>
      </c>
      <c r="Q74" s="1" t="s">
        <v>474</v>
      </c>
      <c r="R74" s="1" t="s">
        <v>475</v>
      </c>
      <c r="S74" s="3">
        <v>1000000</v>
      </c>
      <c r="T74" s="1"/>
      <c r="U74" s="1"/>
      <c r="V74" s="1" t="s">
        <v>489</v>
      </c>
      <c r="W74" s="10" t="s">
        <v>486</v>
      </c>
      <c r="X74" s="3"/>
      <c r="Y74" s="1"/>
      <c r="Z74" s="1"/>
      <c r="AA74" s="1"/>
    </row>
    <row r="75" spans="1:27" ht="30" x14ac:dyDescent="0.25">
      <c r="A75" s="1" t="s">
        <v>142</v>
      </c>
      <c r="B75" s="83"/>
      <c r="C75" s="3">
        <v>1000000</v>
      </c>
      <c r="D75" s="11">
        <v>44901</v>
      </c>
      <c r="E75" s="1"/>
      <c r="F75" s="3">
        <v>1000000</v>
      </c>
      <c r="G75" s="25" t="s">
        <v>238</v>
      </c>
      <c r="H75" s="3"/>
      <c r="I75" s="39">
        <v>1000000</v>
      </c>
      <c r="J75" s="1" t="s">
        <v>237</v>
      </c>
      <c r="K75" s="3">
        <v>1000000</v>
      </c>
      <c r="L75" s="1" t="s">
        <v>16</v>
      </c>
      <c r="M75" s="3"/>
      <c r="N75" s="3"/>
      <c r="O75" s="3"/>
      <c r="P75" s="1">
        <v>1000000</v>
      </c>
      <c r="Q75" s="1" t="s">
        <v>266</v>
      </c>
      <c r="R75" s="10" t="s">
        <v>287</v>
      </c>
      <c r="S75" s="3">
        <v>0</v>
      </c>
      <c r="T75" s="1">
        <v>1000000</v>
      </c>
      <c r="U75" s="1" t="s">
        <v>436</v>
      </c>
      <c r="V75" s="1" t="s">
        <v>489</v>
      </c>
      <c r="W75" s="10" t="s">
        <v>272</v>
      </c>
      <c r="X75" s="3"/>
      <c r="Y75" s="1"/>
      <c r="Z75" s="1"/>
      <c r="AA75" s="1"/>
    </row>
    <row r="76" spans="1:27" x14ac:dyDescent="0.25">
      <c r="A76" s="1" t="s">
        <v>303</v>
      </c>
      <c r="B76" s="83"/>
      <c r="C76" s="3">
        <v>200000</v>
      </c>
      <c r="D76" s="11"/>
      <c r="E76" s="1"/>
      <c r="F76" s="3"/>
      <c r="G76" s="25"/>
      <c r="H76" s="3"/>
      <c r="I76" s="39"/>
      <c r="J76" s="1"/>
      <c r="K76" s="3"/>
      <c r="L76" s="1"/>
      <c r="M76" s="3"/>
      <c r="N76" s="3"/>
      <c r="O76" s="3"/>
      <c r="P76" s="1"/>
      <c r="Q76" s="1"/>
      <c r="R76" s="10"/>
      <c r="S76" s="3"/>
      <c r="T76" s="1">
        <v>200000</v>
      </c>
      <c r="U76" s="1" t="s">
        <v>304</v>
      </c>
      <c r="V76" s="1" t="s">
        <v>489</v>
      </c>
      <c r="W76" s="10" t="s">
        <v>272</v>
      </c>
      <c r="X76" s="3"/>
      <c r="Y76" s="1"/>
      <c r="Z76" s="1"/>
      <c r="AA76" s="1"/>
    </row>
    <row r="77" spans="1:27" x14ac:dyDescent="0.25">
      <c r="A77" s="2" t="s">
        <v>99</v>
      </c>
      <c r="B77" s="85"/>
      <c r="C77" s="7">
        <v>400000</v>
      </c>
      <c r="D77" s="2"/>
      <c r="E77" s="2"/>
      <c r="F77" s="7"/>
      <c r="G77" s="26"/>
      <c r="H77" s="7"/>
      <c r="I77" s="3">
        <v>400000</v>
      </c>
      <c r="J77" s="1" t="s">
        <v>193</v>
      </c>
      <c r="K77" s="3">
        <v>400000</v>
      </c>
      <c r="L77" s="1" t="s">
        <v>138</v>
      </c>
      <c r="M77" s="3">
        <v>400000</v>
      </c>
      <c r="N77" s="3">
        <v>400000</v>
      </c>
      <c r="O77" s="3">
        <v>800000</v>
      </c>
      <c r="P77" s="1">
        <v>400000</v>
      </c>
      <c r="Q77" s="1" t="s">
        <v>193</v>
      </c>
      <c r="R77" s="1" t="s">
        <v>100</v>
      </c>
      <c r="S77" s="3">
        <v>0</v>
      </c>
      <c r="T77" s="1">
        <v>400000</v>
      </c>
      <c r="U77" s="1" t="s">
        <v>429</v>
      </c>
      <c r="V77" s="1" t="s">
        <v>489</v>
      </c>
      <c r="W77" s="10" t="s">
        <v>428</v>
      </c>
      <c r="X77" s="3"/>
      <c r="Y77" s="1"/>
      <c r="Z77" s="1"/>
      <c r="AA77" s="1"/>
    </row>
    <row r="78" spans="1:27" x14ac:dyDescent="0.25">
      <c r="A78" s="1" t="s">
        <v>30</v>
      </c>
      <c r="B78" s="83"/>
      <c r="C78" s="3">
        <v>1000000</v>
      </c>
      <c r="D78" s="1"/>
      <c r="E78" s="1"/>
      <c r="F78" s="3"/>
      <c r="G78" s="25"/>
      <c r="H78" s="3"/>
      <c r="I78" s="39">
        <v>1000000</v>
      </c>
      <c r="J78" s="1" t="s">
        <v>31</v>
      </c>
      <c r="K78" s="3">
        <v>1000000</v>
      </c>
      <c r="L78" s="1" t="s">
        <v>16</v>
      </c>
      <c r="M78" s="3"/>
      <c r="N78" s="3"/>
      <c r="O78" s="3"/>
      <c r="P78" s="1">
        <v>1000000</v>
      </c>
      <c r="Q78" s="1" t="s">
        <v>406</v>
      </c>
      <c r="R78" s="1" t="s">
        <v>407</v>
      </c>
      <c r="S78" s="3"/>
      <c r="T78" s="1">
        <v>1000000</v>
      </c>
      <c r="U78" s="1" t="s">
        <v>408</v>
      </c>
      <c r="V78" s="1" t="s">
        <v>489</v>
      </c>
      <c r="W78" s="10" t="s">
        <v>407</v>
      </c>
      <c r="X78" s="3"/>
      <c r="Y78" s="1"/>
      <c r="Z78" s="1"/>
      <c r="AA78" s="1"/>
    </row>
    <row r="79" spans="1:27" x14ac:dyDescent="0.25">
      <c r="A79" s="51" t="s">
        <v>98</v>
      </c>
      <c r="B79" s="83"/>
      <c r="C79" s="3">
        <v>1000000</v>
      </c>
      <c r="D79" s="1"/>
      <c r="E79" s="1"/>
      <c r="F79" s="3"/>
      <c r="G79" s="25"/>
      <c r="H79" s="3"/>
      <c r="I79" s="3"/>
      <c r="J79" s="1"/>
      <c r="K79" s="3">
        <v>1000000</v>
      </c>
      <c r="L79" s="1" t="s">
        <v>117</v>
      </c>
      <c r="M79" s="3">
        <v>2000000</v>
      </c>
      <c r="N79" s="3">
        <v>1000000</v>
      </c>
      <c r="O79" s="3"/>
      <c r="P79" s="1"/>
      <c r="Q79" s="1"/>
      <c r="R79" s="1" t="s">
        <v>285</v>
      </c>
      <c r="S79" s="3">
        <v>4000000</v>
      </c>
      <c r="T79" s="1"/>
      <c r="U79" s="1"/>
      <c r="V79" s="1" t="s">
        <v>490</v>
      </c>
      <c r="W79" s="10"/>
      <c r="X79" s="3"/>
      <c r="Y79" s="1"/>
      <c r="Z79" s="1"/>
      <c r="AA79" s="1"/>
    </row>
    <row r="80" spans="1:27" x14ac:dyDescent="0.25">
      <c r="A80" s="51" t="s">
        <v>391</v>
      </c>
      <c r="B80" s="83">
        <v>2026</v>
      </c>
      <c r="C80" s="3">
        <v>200000</v>
      </c>
      <c r="D80" s="1"/>
      <c r="E80" s="1"/>
      <c r="F80" s="3"/>
      <c r="G80" s="25"/>
      <c r="H80" s="3"/>
      <c r="I80" s="3"/>
      <c r="J80" s="1"/>
      <c r="K80" s="3"/>
      <c r="L80" s="1"/>
      <c r="M80" s="3"/>
      <c r="N80" s="3"/>
      <c r="O80" s="3"/>
      <c r="P80" s="1"/>
      <c r="Q80" s="1"/>
      <c r="R80" s="1"/>
      <c r="S80" s="3"/>
      <c r="T80" s="1"/>
      <c r="U80" s="1"/>
      <c r="V80" s="1"/>
      <c r="W80" s="10"/>
      <c r="X80" s="3">
        <v>200000</v>
      </c>
      <c r="Y80" s="1" t="s">
        <v>483</v>
      </c>
      <c r="Z80" s="1" t="s">
        <v>489</v>
      </c>
      <c r="AA80" s="1" t="s">
        <v>478</v>
      </c>
    </row>
    <row r="81" spans="1:27" x14ac:dyDescent="0.25">
      <c r="A81" s="1" t="s">
        <v>26</v>
      </c>
      <c r="B81" s="83"/>
      <c r="C81" s="3">
        <v>400000</v>
      </c>
      <c r="D81" s="1"/>
      <c r="E81" s="1"/>
      <c r="F81" s="3"/>
      <c r="G81" s="25"/>
      <c r="H81" s="3"/>
      <c r="I81" s="39">
        <v>400000</v>
      </c>
      <c r="J81" s="1" t="s">
        <v>27</v>
      </c>
      <c r="K81" s="3">
        <v>400000</v>
      </c>
      <c r="L81" s="1" t="s">
        <v>16</v>
      </c>
      <c r="M81" s="3"/>
      <c r="N81" s="3"/>
      <c r="O81" s="3"/>
      <c r="P81" s="1">
        <v>400000</v>
      </c>
      <c r="Q81" s="1" t="s">
        <v>453</v>
      </c>
      <c r="R81" s="1" t="s">
        <v>454</v>
      </c>
      <c r="S81" s="3"/>
      <c r="T81" s="1">
        <v>400000</v>
      </c>
      <c r="U81" s="1" t="s">
        <v>453</v>
      </c>
      <c r="V81" s="1" t="s">
        <v>489</v>
      </c>
      <c r="W81" s="10" t="s">
        <v>455</v>
      </c>
      <c r="X81" s="3"/>
      <c r="Y81" s="1"/>
      <c r="Z81" s="1"/>
      <c r="AA81" s="1"/>
    </row>
    <row r="82" spans="1:27" x14ac:dyDescent="0.25">
      <c r="A82" s="1" t="s">
        <v>484</v>
      </c>
      <c r="B82" s="83">
        <v>2026</v>
      </c>
      <c r="C82" s="3"/>
      <c r="D82" s="1"/>
      <c r="E82" s="1"/>
      <c r="F82" s="3"/>
      <c r="G82" s="25"/>
      <c r="H82" s="3"/>
      <c r="I82" s="39"/>
      <c r="J82" s="1"/>
      <c r="K82" s="3"/>
      <c r="L82" s="1"/>
      <c r="M82" s="3"/>
      <c r="N82" s="3"/>
      <c r="O82" s="3"/>
      <c r="P82" s="1"/>
      <c r="Q82" s="1"/>
      <c r="R82" s="1"/>
      <c r="S82" s="3"/>
      <c r="T82" s="1"/>
      <c r="U82" s="1"/>
      <c r="V82" s="1"/>
      <c r="W82" s="10"/>
      <c r="X82" s="3">
        <v>200000</v>
      </c>
      <c r="Y82" s="1" t="s">
        <v>485</v>
      </c>
      <c r="Z82" s="1" t="s">
        <v>489</v>
      </c>
      <c r="AA82" s="1" t="s">
        <v>478</v>
      </c>
    </row>
    <row r="83" spans="1:27" x14ac:dyDescent="0.25">
      <c r="A83" s="51" t="s">
        <v>75</v>
      </c>
      <c r="B83" s="83"/>
      <c r="C83" s="3">
        <v>400000</v>
      </c>
      <c r="D83" s="1"/>
      <c r="E83" s="1"/>
      <c r="F83" s="3"/>
      <c r="G83" s="25"/>
      <c r="H83" s="3"/>
      <c r="I83" s="3"/>
      <c r="J83" s="1"/>
      <c r="K83" s="3">
        <v>400000</v>
      </c>
      <c r="L83" s="1" t="s">
        <v>118</v>
      </c>
      <c r="M83" s="3">
        <v>1600000</v>
      </c>
      <c r="N83" s="3">
        <v>400000</v>
      </c>
      <c r="O83" s="3"/>
      <c r="P83" s="1"/>
      <c r="Q83" s="1"/>
      <c r="R83" s="1" t="s">
        <v>286</v>
      </c>
      <c r="S83" s="3">
        <v>2400000</v>
      </c>
      <c r="T83" s="1"/>
      <c r="U83" s="1"/>
      <c r="V83" s="1" t="s">
        <v>490</v>
      </c>
      <c r="W83" s="10"/>
      <c r="X83" s="3"/>
      <c r="Y83" s="1"/>
      <c r="Z83" s="1"/>
      <c r="AA83" s="1"/>
    </row>
    <row r="84" spans="1:27" x14ac:dyDescent="0.25">
      <c r="A84" s="51" t="s">
        <v>340</v>
      </c>
      <c r="B84" s="83">
        <v>2025</v>
      </c>
      <c r="C84" s="3">
        <v>200000</v>
      </c>
      <c r="D84" s="1"/>
      <c r="E84" s="1"/>
      <c r="F84" s="3"/>
      <c r="G84" s="25"/>
      <c r="H84" s="3"/>
      <c r="I84" s="3"/>
      <c r="J84" s="1"/>
      <c r="K84" s="3"/>
      <c r="L84" s="1"/>
      <c r="M84" s="3"/>
      <c r="N84" s="3"/>
      <c r="O84" s="3"/>
      <c r="P84" s="1"/>
      <c r="Q84" s="1"/>
      <c r="R84" s="1"/>
      <c r="S84" s="3"/>
      <c r="T84" s="1">
        <v>200000</v>
      </c>
      <c r="U84" s="1" t="s">
        <v>341</v>
      </c>
      <c r="V84" s="1" t="s">
        <v>489</v>
      </c>
      <c r="W84" s="10" t="s">
        <v>272</v>
      </c>
      <c r="X84" s="3"/>
      <c r="Y84" s="1"/>
      <c r="Z84" s="1"/>
      <c r="AA84" s="1"/>
    </row>
    <row r="85" spans="1:27" x14ac:dyDescent="0.25">
      <c r="A85" s="51" t="s">
        <v>131</v>
      </c>
      <c r="B85" s="83"/>
      <c r="C85" s="3">
        <v>1000000</v>
      </c>
      <c r="D85" s="1" t="s">
        <v>207</v>
      </c>
      <c r="E85" s="1"/>
      <c r="F85" s="3"/>
      <c r="G85" s="25"/>
      <c r="H85" s="3"/>
      <c r="I85" s="3">
        <v>1000000</v>
      </c>
      <c r="J85" s="1" t="s">
        <v>354</v>
      </c>
      <c r="K85" s="3">
        <v>1000000</v>
      </c>
      <c r="L85" s="1" t="s">
        <v>355</v>
      </c>
      <c r="M85" s="3"/>
      <c r="N85" s="3">
        <v>1000000</v>
      </c>
      <c r="O85" s="3"/>
      <c r="P85" s="1">
        <v>1000000</v>
      </c>
      <c r="Q85" s="1"/>
      <c r="R85" s="1" t="s">
        <v>356</v>
      </c>
      <c r="S85" s="3"/>
      <c r="T85" s="25">
        <v>1000000</v>
      </c>
      <c r="U85" s="1" t="s">
        <v>357</v>
      </c>
      <c r="V85" s="1" t="s">
        <v>489</v>
      </c>
      <c r="W85" s="10" t="s">
        <v>272</v>
      </c>
      <c r="X85" s="3"/>
      <c r="Y85" s="1"/>
      <c r="Z85" s="1"/>
      <c r="AA85" s="1"/>
    </row>
    <row r="86" spans="1:27" ht="30" x14ac:dyDescent="0.25">
      <c r="A86" s="51" t="s">
        <v>95</v>
      </c>
      <c r="B86" s="85"/>
      <c r="C86" s="7">
        <v>1000000</v>
      </c>
      <c r="D86" s="2"/>
      <c r="E86" s="2"/>
      <c r="F86" s="7">
        <v>1000000</v>
      </c>
      <c r="G86" s="26" t="s">
        <v>200</v>
      </c>
      <c r="H86" s="7"/>
      <c r="I86" s="3">
        <v>1000000</v>
      </c>
      <c r="J86" s="1" t="s">
        <v>231</v>
      </c>
      <c r="K86" s="3">
        <v>1000000</v>
      </c>
      <c r="L86" s="2" t="s">
        <v>232</v>
      </c>
      <c r="M86" s="7"/>
      <c r="N86" s="7">
        <v>1000000</v>
      </c>
      <c r="O86" s="7">
        <v>2000000</v>
      </c>
      <c r="P86" s="1"/>
      <c r="Q86" s="1"/>
      <c r="R86" s="10" t="s">
        <v>288</v>
      </c>
      <c r="S86" s="3">
        <v>1000000</v>
      </c>
      <c r="T86" s="1"/>
      <c r="U86" s="1"/>
      <c r="V86" s="1" t="s">
        <v>490</v>
      </c>
      <c r="W86" s="10" t="s">
        <v>419</v>
      </c>
      <c r="X86" s="3"/>
      <c r="Y86" s="1"/>
      <c r="Z86" s="1"/>
      <c r="AA86" s="1"/>
    </row>
    <row r="87" spans="1:27" x14ac:dyDescent="0.25">
      <c r="A87" s="1" t="s">
        <v>52</v>
      </c>
      <c r="B87" s="83"/>
      <c r="C87" s="3">
        <v>1000000</v>
      </c>
      <c r="D87" s="1"/>
      <c r="E87" s="1"/>
      <c r="F87" s="3"/>
      <c r="G87" s="25"/>
      <c r="H87" s="3"/>
      <c r="I87" s="3"/>
      <c r="J87" s="1"/>
      <c r="K87" s="3">
        <v>1000000</v>
      </c>
      <c r="L87" s="1" t="s">
        <v>119</v>
      </c>
      <c r="M87" s="3">
        <v>2000000</v>
      </c>
      <c r="N87" s="3">
        <v>1000000</v>
      </c>
      <c r="O87" s="3"/>
      <c r="P87" s="1"/>
      <c r="Q87" s="1"/>
      <c r="R87" s="1" t="s">
        <v>289</v>
      </c>
      <c r="S87" s="3">
        <v>4000000</v>
      </c>
      <c r="T87" s="1"/>
      <c r="U87" s="1"/>
      <c r="V87" s="1" t="s">
        <v>490</v>
      </c>
      <c r="W87" s="10"/>
      <c r="X87" s="3"/>
      <c r="Y87" s="1"/>
      <c r="Z87" s="1"/>
      <c r="AA87" s="1"/>
    </row>
    <row r="88" spans="1:27" x14ac:dyDescent="0.25">
      <c r="A88" s="1" t="s">
        <v>32</v>
      </c>
      <c r="B88" s="83"/>
      <c r="C88" s="3">
        <v>1000000</v>
      </c>
      <c r="D88" s="1"/>
      <c r="E88" s="1"/>
      <c r="F88" s="3"/>
      <c r="G88" s="25"/>
      <c r="H88" s="3"/>
      <c r="I88" s="39">
        <v>1000000</v>
      </c>
      <c r="J88" s="1">
        <v>7112381</v>
      </c>
      <c r="K88" s="3">
        <v>1000000</v>
      </c>
      <c r="L88" s="1" t="s">
        <v>16</v>
      </c>
      <c r="M88" s="3"/>
      <c r="N88" s="3"/>
      <c r="O88" s="3"/>
      <c r="P88" s="1">
        <v>1000000</v>
      </c>
      <c r="Q88" s="1" t="s">
        <v>472</v>
      </c>
      <c r="R88" s="1" t="s">
        <v>473</v>
      </c>
      <c r="S88" s="3"/>
      <c r="T88" s="1">
        <v>1000000</v>
      </c>
      <c r="U88" s="1" t="s">
        <v>472</v>
      </c>
      <c r="V88" s="1" t="s">
        <v>489</v>
      </c>
      <c r="W88" s="10" t="s">
        <v>473</v>
      </c>
      <c r="X88" s="3"/>
      <c r="Y88" s="1"/>
      <c r="Z88" s="1"/>
      <c r="AA88" s="1"/>
    </row>
    <row r="89" spans="1:27" x14ac:dyDescent="0.25">
      <c r="A89" s="4" t="s">
        <v>160</v>
      </c>
      <c r="B89" s="87"/>
      <c r="C89" s="20">
        <v>400000</v>
      </c>
      <c r="D89" s="4"/>
      <c r="E89" s="4"/>
      <c r="F89" s="3"/>
      <c r="G89" s="25"/>
      <c r="H89" s="3"/>
      <c r="I89" s="3"/>
      <c r="J89" s="1"/>
      <c r="K89" s="3">
        <v>200000</v>
      </c>
      <c r="L89" s="1" t="s">
        <v>219</v>
      </c>
      <c r="M89" s="3">
        <v>200000</v>
      </c>
      <c r="N89" s="3">
        <v>200000</v>
      </c>
      <c r="O89" s="3"/>
      <c r="P89" s="1"/>
      <c r="Q89" s="1"/>
      <c r="R89" s="1" t="s">
        <v>282</v>
      </c>
      <c r="S89" s="3">
        <v>1200000</v>
      </c>
      <c r="T89" s="1"/>
      <c r="U89" s="1"/>
      <c r="V89" s="1" t="s">
        <v>490</v>
      </c>
      <c r="W89" s="10"/>
      <c r="X89" s="3"/>
      <c r="Y89" s="1"/>
      <c r="Z89" s="1"/>
      <c r="AA89" s="1"/>
    </row>
    <row r="90" spans="1:27" x14ac:dyDescent="0.25">
      <c r="A90" s="1" t="s">
        <v>48</v>
      </c>
      <c r="B90" s="83"/>
      <c r="C90" s="3">
        <v>200000</v>
      </c>
      <c r="D90" s="1"/>
      <c r="E90" s="1"/>
      <c r="F90" s="3">
        <v>200000</v>
      </c>
      <c r="G90" s="25" t="s">
        <v>259</v>
      </c>
      <c r="H90" s="3"/>
      <c r="I90" s="3">
        <v>200000</v>
      </c>
      <c r="J90" s="1" t="s">
        <v>422</v>
      </c>
      <c r="K90" s="3">
        <v>200000</v>
      </c>
      <c r="L90" s="1" t="s">
        <v>423</v>
      </c>
      <c r="M90" s="3"/>
      <c r="N90" s="3">
        <v>200000</v>
      </c>
      <c r="O90" s="3"/>
      <c r="P90" s="3">
        <v>200000</v>
      </c>
      <c r="Q90" s="1" t="s">
        <v>420</v>
      </c>
      <c r="R90" s="1" t="s">
        <v>272</v>
      </c>
      <c r="S90" s="3"/>
      <c r="T90" s="3">
        <v>200000</v>
      </c>
      <c r="U90" s="1" t="s">
        <v>420</v>
      </c>
      <c r="V90" s="1" t="s">
        <v>489</v>
      </c>
      <c r="W90" s="10" t="s">
        <v>421</v>
      </c>
      <c r="X90" s="3"/>
      <c r="Y90" s="1"/>
      <c r="Z90" s="1"/>
      <c r="AA90" s="1"/>
    </row>
    <row r="91" spans="1:27" x14ac:dyDescent="0.25">
      <c r="A91" s="1" t="s">
        <v>76</v>
      </c>
      <c r="B91" s="83"/>
      <c r="C91" s="3">
        <v>200000</v>
      </c>
      <c r="D91" s="1"/>
      <c r="E91" s="1"/>
      <c r="F91" s="3"/>
      <c r="G91" s="25"/>
      <c r="H91" s="3"/>
      <c r="I91" s="3"/>
      <c r="J91" s="1"/>
      <c r="K91" s="3">
        <v>200000</v>
      </c>
      <c r="L91" s="1" t="s">
        <v>120</v>
      </c>
      <c r="M91" s="3">
        <v>1000000</v>
      </c>
      <c r="N91" s="3">
        <v>200000</v>
      </c>
      <c r="O91" s="3"/>
      <c r="P91" s="3"/>
      <c r="Q91" s="1"/>
      <c r="R91" s="1" t="s">
        <v>291</v>
      </c>
      <c r="S91" s="3">
        <v>1400000</v>
      </c>
      <c r="T91" s="1"/>
      <c r="U91" s="1"/>
      <c r="V91" s="1" t="s">
        <v>490</v>
      </c>
      <c r="W91" s="10"/>
      <c r="X91" s="3"/>
      <c r="Y91" s="1"/>
      <c r="Z91" s="1"/>
      <c r="AA91" s="1"/>
    </row>
    <row r="92" spans="1:27" ht="30" x14ac:dyDescent="0.25">
      <c r="A92" s="1" t="s">
        <v>28</v>
      </c>
      <c r="B92" s="83"/>
      <c r="C92" s="3">
        <v>200000</v>
      </c>
      <c r="D92" s="1" t="s">
        <v>173</v>
      </c>
      <c r="E92" s="1"/>
      <c r="F92" s="3">
        <v>200000</v>
      </c>
      <c r="G92" s="25" t="s">
        <v>174</v>
      </c>
      <c r="H92" s="3"/>
      <c r="I92" s="3">
        <v>200000</v>
      </c>
      <c r="J92" s="1" t="s">
        <v>29</v>
      </c>
      <c r="K92" s="3">
        <v>200000</v>
      </c>
      <c r="L92" s="1" t="s">
        <v>16</v>
      </c>
      <c r="M92" s="3"/>
      <c r="N92" s="3">
        <v>200000</v>
      </c>
      <c r="O92" s="3">
        <v>200000</v>
      </c>
      <c r="P92" s="3">
        <v>200000</v>
      </c>
      <c r="Q92" s="1" t="s">
        <v>456</v>
      </c>
      <c r="R92" s="1" t="s">
        <v>457</v>
      </c>
      <c r="S92" s="3"/>
      <c r="T92" s="1">
        <v>200000</v>
      </c>
      <c r="U92" s="10" t="s">
        <v>458</v>
      </c>
      <c r="V92" s="10" t="s">
        <v>489</v>
      </c>
      <c r="W92" s="10" t="s">
        <v>443</v>
      </c>
      <c r="X92" s="3"/>
      <c r="Y92" s="1"/>
      <c r="Z92" s="10"/>
      <c r="AA92" s="1"/>
    </row>
    <row r="93" spans="1:27" x14ac:dyDescent="0.25">
      <c r="A93" s="1" t="s">
        <v>299</v>
      </c>
      <c r="B93" s="83"/>
      <c r="C93" s="3">
        <v>400000</v>
      </c>
      <c r="D93" s="1"/>
      <c r="E93" s="1"/>
      <c r="F93" s="3"/>
      <c r="G93" s="25"/>
      <c r="H93" s="3"/>
      <c r="I93" s="3"/>
      <c r="J93" s="1"/>
      <c r="K93" s="3"/>
      <c r="L93" s="1"/>
      <c r="M93" s="3"/>
      <c r="N93" s="3"/>
      <c r="O93" s="3"/>
      <c r="P93" s="3"/>
      <c r="Q93" s="1"/>
      <c r="R93" s="1"/>
      <c r="S93" s="3"/>
      <c r="T93" s="1">
        <v>400000</v>
      </c>
      <c r="U93" s="1" t="s">
        <v>300</v>
      </c>
      <c r="V93" s="1" t="s">
        <v>489</v>
      </c>
      <c r="W93" s="10" t="s">
        <v>272</v>
      </c>
      <c r="X93" s="3"/>
      <c r="Y93" s="1"/>
      <c r="Z93" s="1"/>
      <c r="AA93" s="1"/>
    </row>
    <row r="94" spans="1:27" x14ac:dyDescent="0.25">
      <c r="A94" s="1" t="s">
        <v>77</v>
      </c>
      <c r="B94" s="83"/>
      <c r="C94" s="3">
        <v>400000</v>
      </c>
      <c r="D94" s="1"/>
      <c r="E94" s="1"/>
      <c r="F94" s="3"/>
      <c r="G94" s="25"/>
      <c r="H94" s="3"/>
      <c r="I94" s="3"/>
      <c r="J94" s="1"/>
      <c r="K94" s="3">
        <v>400000</v>
      </c>
      <c r="L94" s="1" t="s">
        <v>121</v>
      </c>
      <c r="M94" s="3"/>
      <c r="N94" s="3">
        <v>400000</v>
      </c>
      <c r="O94" s="3"/>
      <c r="P94" s="3"/>
      <c r="Q94" s="1"/>
      <c r="R94" s="1" t="s">
        <v>275</v>
      </c>
      <c r="S94" s="3">
        <v>800000</v>
      </c>
      <c r="T94" s="1"/>
      <c r="U94" s="1"/>
      <c r="V94" s="1" t="s">
        <v>490</v>
      </c>
      <c r="W94" s="10"/>
      <c r="X94" s="3"/>
      <c r="Y94" s="1"/>
      <c r="Z94" s="1"/>
      <c r="AA94" s="1"/>
    </row>
    <row r="95" spans="1:27" x14ac:dyDescent="0.25">
      <c r="A95" s="51" t="s">
        <v>33</v>
      </c>
      <c r="B95" s="83"/>
      <c r="C95" s="3">
        <v>1000000</v>
      </c>
      <c r="D95" s="1"/>
      <c r="E95" s="1"/>
      <c r="F95" s="3"/>
      <c r="G95" s="25"/>
      <c r="H95" s="3"/>
      <c r="I95" s="3"/>
      <c r="J95" s="1"/>
      <c r="K95" s="3">
        <v>1000000</v>
      </c>
      <c r="L95" s="1" t="s">
        <v>122</v>
      </c>
      <c r="M95" s="3">
        <v>3000000</v>
      </c>
      <c r="N95" s="3">
        <v>1000000</v>
      </c>
      <c r="O95" s="3"/>
      <c r="P95" s="3"/>
      <c r="Q95" s="1"/>
      <c r="R95" s="1" t="s">
        <v>292</v>
      </c>
      <c r="S95" s="3">
        <v>5000000</v>
      </c>
      <c r="T95" s="1"/>
      <c r="U95" s="1"/>
      <c r="V95" s="1" t="s">
        <v>490</v>
      </c>
      <c r="W95" s="10"/>
      <c r="X95" s="3"/>
      <c r="Y95" s="1"/>
      <c r="Z95" s="1"/>
      <c r="AA95" s="1"/>
    </row>
    <row r="96" spans="1:27" ht="30" x14ac:dyDescent="0.25">
      <c r="A96" s="51" t="s">
        <v>161</v>
      </c>
      <c r="B96" s="87"/>
      <c r="C96" s="20">
        <v>1000000</v>
      </c>
      <c r="D96" s="4"/>
      <c r="E96" s="4"/>
      <c r="F96" s="3">
        <v>1000000</v>
      </c>
      <c r="G96" s="25" t="s">
        <v>479</v>
      </c>
      <c r="H96" s="3" t="s">
        <v>272</v>
      </c>
      <c r="I96" s="3">
        <v>1000000</v>
      </c>
      <c r="J96" s="1" t="s">
        <v>480</v>
      </c>
      <c r="K96" s="3"/>
      <c r="L96" s="1" t="s">
        <v>481</v>
      </c>
      <c r="M96" s="3"/>
      <c r="N96" s="3"/>
      <c r="O96" s="3"/>
      <c r="P96" s="3">
        <v>1000000</v>
      </c>
      <c r="Q96" s="1" t="s">
        <v>480</v>
      </c>
      <c r="R96" s="1" t="s">
        <v>272</v>
      </c>
      <c r="S96" s="3"/>
      <c r="T96" s="1">
        <v>1000000</v>
      </c>
      <c r="U96" s="1" t="s">
        <v>374</v>
      </c>
      <c r="V96" s="1" t="s">
        <v>489</v>
      </c>
      <c r="W96" s="10" t="s">
        <v>482</v>
      </c>
      <c r="X96" s="3"/>
      <c r="Y96" s="1"/>
      <c r="Z96" s="1"/>
      <c r="AA96" s="1"/>
    </row>
    <row r="97" spans="1:27" ht="30" x14ac:dyDescent="0.25">
      <c r="A97" s="1" t="s">
        <v>34</v>
      </c>
      <c r="B97" s="83"/>
      <c r="C97" s="3">
        <v>1000000</v>
      </c>
      <c r="D97" s="1"/>
      <c r="E97" s="1"/>
      <c r="F97" s="3"/>
      <c r="G97" s="25"/>
      <c r="H97" s="3"/>
      <c r="I97" s="3">
        <v>1000000</v>
      </c>
      <c r="J97" s="1" t="s">
        <v>432</v>
      </c>
      <c r="K97" s="3">
        <v>1000000</v>
      </c>
      <c r="L97" s="1" t="s">
        <v>433</v>
      </c>
      <c r="M97" s="3"/>
      <c r="N97" s="3">
        <v>1000000</v>
      </c>
      <c r="O97" s="3"/>
      <c r="P97" s="3">
        <v>1000000</v>
      </c>
      <c r="Q97" s="1" t="s">
        <v>434</v>
      </c>
      <c r="R97" s="1" t="s">
        <v>433</v>
      </c>
      <c r="S97" s="3"/>
      <c r="T97" s="1">
        <v>1000000</v>
      </c>
      <c r="U97" s="1" t="s">
        <v>434</v>
      </c>
      <c r="V97" s="1" t="s">
        <v>489</v>
      </c>
      <c r="W97" s="10" t="s">
        <v>435</v>
      </c>
      <c r="X97" s="3"/>
      <c r="Y97" s="1"/>
      <c r="Z97" s="1"/>
      <c r="AA97" s="1"/>
    </row>
    <row r="98" spans="1:27" x14ac:dyDescent="0.25">
      <c r="A98" s="51" t="s">
        <v>74</v>
      </c>
      <c r="B98" s="83"/>
      <c r="C98" s="3">
        <v>400000</v>
      </c>
      <c r="D98" s="1"/>
      <c r="E98" s="1"/>
      <c r="F98" s="3"/>
      <c r="G98" s="25"/>
      <c r="H98" s="3"/>
      <c r="I98" s="3"/>
      <c r="J98" s="1"/>
      <c r="K98" s="3">
        <v>400000</v>
      </c>
      <c r="L98" s="1" t="s">
        <v>215</v>
      </c>
      <c r="M98" s="3"/>
      <c r="N98" s="3">
        <v>400000</v>
      </c>
      <c r="O98" s="3"/>
      <c r="P98" s="3"/>
      <c r="Q98" s="1"/>
      <c r="R98" s="1" t="s">
        <v>275</v>
      </c>
      <c r="S98" s="3">
        <v>800000</v>
      </c>
      <c r="T98" s="1"/>
      <c r="U98" s="1"/>
      <c r="V98" s="1" t="s">
        <v>490</v>
      </c>
      <c r="W98" s="10"/>
      <c r="X98" s="3"/>
      <c r="Y98" s="1"/>
      <c r="Z98" s="1"/>
      <c r="AA98" s="1"/>
    </row>
    <row r="99" spans="1:27" x14ac:dyDescent="0.25">
      <c r="A99" s="1" t="s">
        <v>54</v>
      </c>
      <c r="B99" s="83"/>
      <c r="C99" s="3">
        <v>1000000</v>
      </c>
      <c r="D99" s="1" t="s">
        <v>205</v>
      </c>
      <c r="E99" s="1"/>
      <c r="F99" s="3"/>
      <c r="G99" s="25"/>
      <c r="H99" s="3"/>
      <c r="I99" s="39">
        <v>1000000</v>
      </c>
      <c r="J99" s="1" t="s">
        <v>55</v>
      </c>
      <c r="K99" s="3">
        <v>1000000</v>
      </c>
      <c r="L99" s="1" t="s">
        <v>16</v>
      </c>
      <c r="M99" s="3"/>
      <c r="N99" s="3"/>
      <c r="O99" s="3"/>
      <c r="P99" s="3">
        <v>1000000</v>
      </c>
      <c r="Q99" s="1" t="s">
        <v>385</v>
      </c>
      <c r="R99" s="1" t="s">
        <v>272</v>
      </c>
      <c r="S99" s="3">
        <v>1000000</v>
      </c>
      <c r="T99" s="1">
        <v>1000000</v>
      </c>
      <c r="U99" s="1" t="s">
        <v>359</v>
      </c>
      <c r="V99" s="1" t="s">
        <v>489</v>
      </c>
      <c r="W99" s="10" t="s">
        <v>272</v>
      </c>
      <c r="X99" s="3"/>
      <c r="Y99" s="1"/>
      <c r="Z99" s="1"/>
      <c r="AA99" s="1"/>
    </row>
    <row r="100" spans="1:27" x14ac:dyDescent="0.25">
      <c r="A100" s="51" t="s">
        <v>53</v>
      </c>
      <c r="B100" s="83"/>
      <c r="C100" s="3">
        <v>1000000</v>
      </c>
      <c r="D100" s="1"/>
      <c r="E100" s="1"/>
      <c r="F100" s="3"/>
      <c r="G100" s="25"/>
      <c r="H100" s="3"/>
      <c r="I100" s="3"/>
      <c r="J100" s="1"/>
      <c r="K100" s="3">
        <v>1000000</v>
      </c>
      <c r="L100" s="1" t="s">
        <v>122</v>
      </c>
      <c r="M100" s="3">
        <v>3000000</v>
      </c>
      <c r="N100" s="3">
        <v>1000000</v>
      </c>
      <c r="O100" s="3"/>
      <c r="P100" s="3"/>
      <c r="Q100" s="1"/>
      <c r="R100" s="1" t="s">
        <v>294</v>
      </c>
      <c r="S100" s="3">
        <v>5000000</v>
      </c>
      <c r="T100" s="1"/>
      <c r="U100" s="1"/>
      <c r="V100" s="1" t="s">
        <v>490</v>
      </c>
      <c r="W100" s="10"/>
      <c r="X100" s="3"/>
      <c r="Y100" s="1"/>
      <c r="Z100" s="1"/>
      <c r="AA100" s="1"/>
    </row>
    <row r="101" spans="1:27" x14ac:dyDescent="0.25">
      <c r="A101" s="51" t="s">
        <v>102</v>
      </c>
      <c r="B101" s="83"/>
      <c r="C101" s="3">
        <v>1000000</v>
      </c>
      <c r="D101" s="1"/>
      <c r="E101" s="1"/>
      <c r="F101" s="3"/>
      <c r="G101" s="25"/>
      <c r="H101" s="3"/>
      <c r="I101" s="3"/>
      <c r="J101" s="1"/>
      <c r="K101" s="3">
        <v>1000000</v>
      </c>
      <c r="L101" s="1" t="s">
        <v>129</v>
      </c>
      <c r="M101" s="3"/>
      <c r="N101" s="3">
        <v>1000000</v>
      </c>
      <c r="O101" s="3"/>
      <c r="P101" s="3"/>
      <c r="Q101" s="1"/>
      <c r="R101" s="1" t="s">
        <v>275</v>
      </c>
      <c r="S101" s="3">
        <v>2000000</v>
      </c>
      <c r="T101" s="1"/>
      <c r="U101" s="1"/>
      <c r="V101" s="1" t="s">
        <v>490</v>
      </c>
      <c r="W101" s="10"/>
      <c r="X101" s="3"/>
      <c r="Y101" s="1"/>
      <c r="Z101" s="1"/>
      <c r="AA101" s="1"/>
    </row>
    <row r="102" spans="1:27" ht="30" x14ac:dyDescent="0.25">
      <c r="A102" s="2" t="s">
        <v>143</v>
      </c>
      <c r="B102" s="89"/>
      <c r="C102" s="55">
        <v>200000</v>
      </c>
      <c r="D102" s="2"/>
      <c r="E102" s="2"/>
      <c r="F102" s="7">
        <v>200000</v>
      </c>
      <c r="G102" s="26" t="s">
        <v>210</v>
      </c>
      <c r="H102" s="7"/>
      <c r="I102" s="3"/>
      <c r="J102" s="1"/>
      <c r="K102" s="3">
        <v>200000</v>
      </c>
      <c r="L102" s="2" t="s">
        <v>144</v>
      </c>
      <c r="M102" s="7">
        <v>200000</v>
      </c>
      <c r="N102" s="7">
        <v>200000</v>
      </c>
      <c r="O102" s="7">
        <v>200000</v>
      </c>
      <c r="P102" s="3"/>
      <c r="Q102" s="1"/>
      <c r="R102" s="10" t="s">
        <v>314</v>
      </c>
      <c r="S102" s="3"/>
      <c r="T102" s="1"/>
      <c r="U102" s="1"/>
      <c r="V102" s="1" t="s">
        <v>490</v>
      </c>
      <c r="W102" s="10" t="s">
        <v>315</v>
      </c>
      <c r="X102" s="3"/>
      <c r="Y102" s="1"/>
      <c r="Z102" s="1"/>
      <c r="AA102" s="1"/>
    </row>
    <row r="103" spans="1:27" x14ac:dyDescent="0.25">
      <c r="A103" s="51" t="s">
        <v>101</v>
      </c>
      <c r="B103" s="83"/>
      <c r="C103" s="3">
        <v>1000000</v>
      </c>
      <c r="D103" s="1"/>
      <c r="E103" s="1"/>
      <c r="F103" s="3"/>
      <c r="G103" s="25"/>
      <c r="H103" s="3"/>
      <c r="I103" s="39">
        <v>1000000</v>
      </c>
      <c r="J103" s="1">
        <v>72293210</v>
      </c>
      <c r="K103" s="3">
        <v>1000000</v>
      </c>
      <c r="L103" s="1" t="s">
        <v>16</v>
      </c>
      <c r="M103" s="3"/>
      <c r="N103" s="3"/>
      <c r="O103" s="3"/>
      <c r="P103" s="3">
        <v>1000000</v>
      </c>
      <c r="Q103" s="1" t="s">
        <v>337</v>
      </c>
      <c r="R103" s="1" t="s">
        <v>338</v>
      </c>
      <c r="S103" s="3"/>
      <c r="T103" s="1">
        <v>1000000</v>
      </c>
      <c r="U103" s="1" t="s">
        <v>337</v>
      </c>
      <c r="V103" s="1" t="s">
        <v>489</v>
      </c>
      <c r="W103" s="10" t="s">
        <v>272</v>
      </c>
      <c r="X103" s="3"/>
      <c r="Y103" s="1"/>
      <c r="Z103" s="1"/>
      <c r="AA103" s="1"/>
    </row>
    <row r="104" spans="1:27" ht="30" x14ac:dyDescent="0.25">
      <c r="A104" s="1" t="s">
        <v>56</v>
      </c>
      <c r="B104" s="83"/>
      <c r="C104" s="3">
        <v>1000000</v>
      </c>
      <c r="D104" s="1" t="s">
        <v>394</v>
      </c>
      <c r="E104" s="1" t="s">
        <v>395</v>
      </c>
      <c r="F104" s="3">
        <v>1000000</v>
      </c>
      <c r="G104" s="25" t="s">
        <v>394</v>
      </c>
      <c r="H104" s="3" t="s">
        <v>395</v>
      </c>
      <c r="I104" s="3">
        <v>1000000</v>
      </c>
      <c r="J104" s="1" t="s">
        <v>394</v>
      </c>
      <c r="K104" s="3"/>
      <c r="L104" s="1" t="s">
        <v>396</v>
      </c>
      <c r="M104" s="3"/>
      <c r="N104" s="3"/>
      <c r="O104" s="3"/>
      <c r="P104" s="3">
        <v>1000000</v>
      </c>
      <c r="Q104" s="1" t="s">
        <v>394</v>
      </c>
      <c r="R104" s="1" t="s">
        <v>395</v>
      </c>
      <c r="S104" s="3"/>
      <c r="T104" s="1">
        <v>1000000</v>
      </c>
      <c r="U104" s="1" t="s">
        <v>394</v>
      </c>
      <c r="V104" s="1" t="s">
        <v>489</v>
      </c>
      <c r="W104" s="10" t="s">
        <v>397</v>
      </c>
      <c r="X104" s="3"/>
      <c r="Y104" s="1"/>
      <c r="Z104" s="1"/>
      <c r="AA104" s="1"/>
    </row>
    <row r="105" spans="1:27" x14ac:dyDescent="0.25">
      <c r="A105" s="1" t="s">
        <v>35</v>
      </c>
      <c r="B105" s="83"/>
      <c r="C105" s="3">
        <v>400000</v>
      </c>
      <c r="D105" s="1" t="s">
        <v>175</v>
      </c>
      <c r="E105" s="1"/>
      <c r="F105" s="3">
        <v>400000</v>
      </c>
      <c r="G105" s="25" t="s">
        <v>248</v>
      </c>
      <c r="H105" s="3"/>
      <c r="I105" s="39">
        <v>400000</v>
      </c>
      <c r="J105" s="1" t="s">
        <v>36</v>
      </c>
      <c r="K105" s="3">
        <v>400000</v>
      </c>
      <c r="L105" s="1" t="s">
        <v>16</v>
      </c>
      <c r="M105" s="3"/>
      <c r="N105" s="3"/>
      <c r="O105" s="3"/>
      <c r="P105" s="3">
        <v>400000</v>
      </c>
      <c r="Q105" s="1" t="s">
        <v>37</v>
      </c>
      <c r="R105" s="1" t="s">
        <v>258</v>
      </c>
      <c r="S105" s="3">
        <v>0</v>
      </c>
      <c r="T105" s="1">
        <v>400000</v>
      </c>
      <c r="U105" s="1" t="s">
        <v>362</v>
      </c>
      <c r="V105" s="1" t="s">
        <v>489</v>
      </c>
      <c r="W105" s="10" t="s">
        <v>272</v>
      </c>
      <c r="X105" s="3"/>
      <c r="Y105" s="1"/>
      <c r="Z105" s="1"/>
      <c r="AA105" s="1"/>
    </row>
    <row r="106" spans="1:27" x14ac:dyDescent="0.25">
      <c r="A106" s="1" t="s">
        <v>103</v>
      </c>
      <c r="B106" s="83"/>
      <c r="C106" s="3">
        <v>1000000</v>
      </c>
      <c r="D106" s="1"/>
      <c r="E106" s="1"/>
      <c r="F106" s="3">
        <v>1000000</v>
      </c>
      <c r="G106" s="25" t="s">
        <v>249</v>
      </c>
      <c r="H106" s="3"/>
      <c r="I106" s="3">
        <v>1000000</v>
      </c>
      <c r="J106" s="1" t="s">
        <v>183</v>
      </c>
      <c r="K106" s="3">
        <v>1000000</v>
      </c>
      <c r="L106" s="1" t="s">
        <v>8</v>
      </c>
      <c r="M106" s="3"/>
      <c r="N106" s="3">
        <v>1000000</v>
      </c>
      <c r="O106" s="3">
        <v>1000000</v>
      </c>
      <c r="P106" s="3">
        <v>1000000</v>
      </c>
      <c r="Q106" s="1" t="s">
        <v>104</v>
      </c>
      <c r="R106" s="1">
        <v>45306</v>
      </c>
      <c r="S106" s="3">
        <v>0</v>
      </c>
      <c r="T106" s="1"/>
      <c r="U106" s="1"/>
      <c r="V106" s="1" t="s">
        <v>490</v>
      </c>
      <c r="W106" s="10" t="s">
        <v>386</v>
      </c>
      <c r="X106" s="3"/>
      <c r="Y106" s="1"/>
      <c r="Z106" s="1"/>
      <c r="AA106" s="1"/>
    </row>
    <row r="107" spans="1:27" x14ac:dyDescent="0.25">
      <c r="A107" s="1" t="s">
        <v>105</v>
      </c>
      <c r="B107" s="83"/>
      <c r="C107" s="3">
        <v>200000</v>
      </c>
      <c r="D107" s="1"/>
      <c r="E107" s="1"/>
      <c r="F107" s="3"/>
      <c r="G107" s="25"/>
      <c r="H107" s="3"/>
      <c r="I107" s="3">
        <v>200000</v>
      </c>
      <c r="J107" s="1" t="s">
        <v>190</v>
      </c>
      <c r="K107" s="3">
        <v>200000</v>
      </c>
      <c r="L107" s="1" t="s">
        <v>16</v>
      </c>
      <c r="M107" s="3"/>
      <c r="N107" s="3">
        <v>200000</v>
      </c>
      <c r="O107" s="3">
        <v>200000</v>
      </c>
      <c r="P107" s="3">
        <v>200000</v>
      </c>
      <c r="Q107" s="1" t="s">
        <v>448</v>
      </c>
      <c r="R107" s="1" t="s">
        <v>449</v>
      </c>
      <c r="S107" s="3"/>
      <c r="T107" s="1">
        <v>200000</v>
      </c>
      <c r="U107" s="1" t="s">
        <v>450</v>
      </c>
      <c r="V107" s="1" t="s">
        <v>489</v>
      </c>
      <c r="W107" s="10" t="s">
        <v>449</v>
      </c>
      <c r="X107" s="3"/>
      <c r="Y107" s="1"/>
      <c r="Z107" s="1"/>
      <c r="AA107" s="1"/>
    </row>
    <row r="108" spans="1:27" x14ac:dyDescent="0.25">
      <c r="A108" s="1" t="s">
        <v>38</v>
      </c>
      <c r="B108" s="83"/>
      <c r="C108" s="3">
        <v>1000000</v>
      </c>
      <c r="D108" s="1"/>
      <c r="E108" s="1"/>
      <c r="F108" s="3"/>
      <c r="G108" s="25"/>
      <c r="H108" s="3"/>
      <c r="I108" s="39">
        <v>1000000</v>
      </c>
      <c r="J108" s="1" t="s">
        <v>39</v>
      </c>
      <c r="K108" s="3">
        <v>1000000</v>
      </c>
      <c r="L108" s="1" t="s">
        <v>40</v>
      </c>
      <c r="M108" s="3"/>
      <c r="N108" s="3">
        <v>1000000</v>
      </c>
      <c r="O108" s="3">
        <v>1000000</v>
      </c>
      <c r="P108" s="3">
        <v>1000000</v>
      </c>
      <c r="Q108" s="1" t="s">
        <v>267</v>
      </c>
      <c r="R108" s="1" t="s">
        <v>268</v>
      </c>
      <c r="S108" s="3">
        <v>0</v>
      </c>
      <c r="T108" s="1">
        <v>1000000</v>
      </c>
      <c r="U108" s="1" t="s">
        <v>378</v>
      </c>
      <c r="V108" s="1" t="s">
        <v>489</v>
      </c>
      <c r="W108" s="10" t="s">
        <v>311</v>
      </c>
      <c r="X108" s="3"/>
      <c r="Y108" s="1"/>
      <c r="Z108" s="1"/>
      <c r="AA108" s="1"/>
    </row>
    <row r="109" spans="1:27" x14ac:dyDescent="0.25">
      <c r="A109" s="51" t="s">
        <v>106</v>
      </c>
      <c r="B109" s="83"/>
      <c r="C109" s="3">
        <v>1000000</v>
      </c>
      <c r="D109" s="1" t="s">
        <v>467</v>
      </c>
      <c r="E109" s="1" t="s">
        <v>468</v>
      </c>
      <c r="F109" s="3">
        <v>1000000</v>
      </c>
      <c r="G109" s="25" t="s">
        <v>467</v>
      </c>
      <c r="H109" s="3" t="s">
        <v>469</v>
      </c>
      <c r="I109" s="3"/>
      <c r="J109" s="1"/>
      <c r="K109" s="3">
        <v>1000000</v>
      </c>
      <c r="L109" s="1" t="s">
        <v>470</v>
      </c>
      <c r="M109" s="3"/>
      <c r="N109" s="3"/>
      <c r="O109" s="3"/>
      <c r="P109" s="3"/>
      <c r="Q109" s="1"/>
      <c r="R109" s="1" t="s">
        <v>471</v>
      </c>
      <c r="S109" s="3"/>
      <c r="T109" s="1"/>
      <c r="U109" s="1"/>
      <c r="V109" s="1" t="s">
        <v>492</v>
      </c>
      <c r="W109" s="10" t="s">
        <v>470</v>
      </c>
      <c r="X109" s="3"/>
      <c r="Y109" s="1"/>
      <c r="Z109" s="1"/>
      <c r="AA109" s="1"/>
    </row>
    <row r="110" spans="1:27" x14ac:dyDescent="0.25">
      <c r="A110" s="1" t="s">
        <v>96</v>
      </c>
      <c r="B110" s="83"/>
      <c r="C110" s="3">
        <v>1000000</v>
      </c>
      <c r="D110" s="1" t="s">
        <v>206</v>
      </c>
      <c r="E110" s="1"/>
      <c r="F110" s="3"/>
      <c r="G110" s="25"/>
      <c r="H110" s="3"/>
      <c r="I110" s="3"/>
      <c r="J110" s="1"/>
      <c r="K110" s="3">
        <v>1000000</v>
      </c>
      <c r="L110" s="1" t="s">
        <v>128</v>
      </c>
      <c r="M110" s="3"/>
      <c r="N110" s="3">
        <v>1000000</v>
      </c>
      <c r="O110" s="3"/>
      <c r="P110" s="3"/>
      <c r="Q110" s="1"/>
      <c r="R110" s="1" t="s">
        <v>275</v>
      </c>
      <c r="S110" s="3">
        <v>2000000</v>
      </c>
      <c r="T110" s="1"/>
      <c r="U110" s="1"/>
      <c r="V110" s="1" t="s">
        <v>490</v>
      </c>
      <c r="W110" s="10"/>
      <c r="X110" s="3"/>
      <c r="Y110" s="1"/>
      <c r="Z110" s="1"/>
      <c r="AA110" s="1"/>
    </row>
    <row r="111" spans="1:27" x14ac:dyDescent="0.25">
      <c r="A111" s="1" t="s">
        <v>41</v>
      </c>
      <c r="B111" s="83"/>
      <c r="C111" s="3">
        <v>200000</v>
      </c>
      <c r="D111" s="1"/>
      <c r="E111" s="1"/>
      <c r="F111" s="3">
        <v>200000</v>
      </c>
      <c r="G111" s="25" t="s">
        <v>250</v>
      </c>
      <c r="H111" s="3"/>
      <c r="I111" s="39">
        <v>200000</v>
      </c>
      <c r="J111" s="1">
        <v>72858526</v>
      </c>
      <c r="K111" s="3">
        <v>200000</v>
      </c>
      <c r="L111" s="1" t="s">
        <v>16</v>
      </c>
      <c r="M111" s="3"/>
      <c r="N111" s="3"/>
      <c r="O111" s="3"/>
      <c r="P111" s="3">
        <v>200000</v>
      </c>
      <c r="Q111" s="1">
        <v>7230342</v>
      </c>
      <c r="R111" s="11" t="s">
        <v>162</v>
      </c>
      <c r="S111" s="3">
        <v>0</v>
      </c>
      <c r="T111" s="1">
        <v>200000</v>
      </c>
      <c r="U111" s="1" t="s">
        <v>424</v>
      </c>
      <c r="V111" s="1" t="s">
        <v>489</v>
      </c>
      <c r="W111" s="10" t="s">
        <v>425</v>
      </c>
      <c r="X111" s="3"/>
      <c r="Y111" s="1"/>
      <c r="Z111" s="1"/>
      <c r="AA111" s="1"/>
    </row>
    <row r="112" spans="1:27" x14ac:dyDescent="0.25">
      <c r="A112" s="1" t="s">
        <v>44</v>
      </c>
      <c r="B112" s="83"/>
      <c r="C112" s="3">
        <v>200000</v>
      </c>
      <c r="D112" s="1"/>
      <c r="E112" s="1"/>
      <c r="F112" s="3"/>
      <c r="G112" s="25"/>
      <c r="H112" s="3"/>
      <c r="I112" s="39">
        <v>200000</v>
      </c>
      <c r="J112" s="1" t="s">
        <v>45</v>
      </c>
      <c r="K112" s="3">
        <v>200000</v>
      </c>
      <c r="L112" s="1" t="s">
        <v>16</v>
      </c>
      <c r="M112" s="3"/>
      <c r="N112" s="3"/>
      <c r="O112" s="3"/>
      <c r="P112" s="3"/>
      <c r="Q112" s="1"/>
      <c r="R112" s="1" t="s">
        <v>293</v>
      </c>
      <c r="S112" s="3">
        <v>200000</v>
      </c>
      <c r="T112" s="1"/>
      <c r="U112" s="1"/>
      <c r="V112" s="1" t="s">
        <v>490</v>
      </c>
      <c r="W112" s="10"/>
      <c r="X112" s="3"/>
      <c r="Y112" s="1"/>
      <c r="Z112" s="1"/>
      <c r="AA112" s="1"/>
    </row>
    <row r="113" spans="1:27" ht="15.75" thickBot="1" x14ac:dyDescent="0.3">
      <c r="A113" s="1" t="s">
        <v>43</v>
      </c>
      <c r="B113" s="83"/>
      <c r="C113" s="3">
        <v>1000000</v>
      </c>
      <c r="D113" s="1"/>
      <c r="E113" s="1"/>
      <c r="F113" s="3"/>
      <c r="G113" s="25"/>
      <c r="H113" s="3"/>
      <c r="I113" s="40">
        <v>1000000</v>
      </c>
      <c r="J113" s="1">
        <v>71089133</v>
      </c>
      <c r="K113" s="3">
        <v>1000000</v>
      </c>
      <c r="L113" s="1" t="s">
        <v>16</v>
      </c>
      <c r="M113" s="3"/>
      <c r="N113" s="3"/>
      <c r="O113" s="3"/>
      <c r="P113" s="3"/>
      <c r="Q113" s="1"/>
      <c r="R113" s="1" t="s">
        <v>293</v>
      </c>
      <c r="S113" s="3">
        <v>1000000</v>
      </c>
      <c r="T113" s="1"/>
      <c r="U113" s="1"/>
      <c r="V113" s="1" t="s">
        <v>490</v>
      </c>
      <c r="W113" s="10"/>
      <c r="X113" s="3"/>
      <c r="Y113" s="1"/>
      <c r="Z113" s="1"/>
      <c r="AA113" s="1"/>
    </row>
    <row r="114" spans="1:27" ht="21.75" thickBot="1" x14ac:dyDescent="0.4">
      <c r="A114" s="29" t="s">
        <v>157</v>
      </c>
      <c r="B114" s="81"/>
      <c r="C114" s="29"/>
      <c r="D114" s="29"/>
      <c r="E114" s="29"/>
      <c r="F114" s="3"/>
      <c r="G114" s="25"/>
      <c r="H114" s="34"/>
      <c r="I114" s="36">
        <f>SUM(I3:I113)</f>
        <v>40400000</v>
      </c>
      <c r="J114" s="35"/>
      <c r="K114" s="41">
        <f>SUM(K3:K113)</f>
        <v>51600000</v>
      </c>
      <c r="L114" s="1" t="s">
        <v>216</v>
      </c>
      <c r="M114" s="43">
        <f>SUM(M3:M113)</f>
        <v>35000000</v>
      </c>
      <c r="N114" s="43">
        <f>SUM(N3:N113)</f>
        <v>30600000</v>
      </c>
      <c r="O114" s="43">
        <f>SUM(O3:O113)</f>
        <v>25600000</v>
      </c>
      <c r="P114" s="3">
        <f>SUM(P3:P113)</f>
        <v>33800000</v>
      </c>
      <c r="Q114" s="1"/>
      <c r="R114" s="1"/>
      <c r="S114" s="3"/>
      <c r="T114" s="1"/>
      <c r="U114" s="1"/>
      <c r="V114" s="1"/>
      <c r="W114" s="10"/>
      <c r="X114" s="3"/>
      <c r="Y114" s="1"/>
      <c r="Z114" s="1"/>
      <c r="AA114" s="1"/>
    </row>
    <row r="115" spans="1:27" x14ac:dyDescent="0.25">
      <c r="B115" s="90"/>
      <c r="C115" s="33">
        <v>200000</v>
      </c>
      <c r="D115" t="s">
        <v>208</v>
      </c>
      <c r="E115" t="s">
        <v>209</v>
      </c>
      <c r="H115" s="33">
        <v>29100000</v>
      </c>
      <c r="I115" s="37" t="e">
        <f>I8+I9+I10+I12+I14+I16+I17+I19+#REF!+I26+I27+I33+I35+I38+I41+I49+I50+I55+I58+I62+I63+I74+I75+I78+I81+I88+I99+I103+I105+I108+I111+I112+I113</f>
        <v>#REF!</v>
      </c>
      <c r="J115" s="33">
        <v>7300000</v>
      </c>
      <c r="K115" s="33"/>
      <c r="L115" s="38" t="s">
        <v>217</v>
      </c>
    </row>
    <row r="117" spans="1:27" x14ac:dyDescent="0.25">
      <c r="I117" s="37"/>
      <c r="J117" s="37"/>
      <c r="K117" s="37"/>
    </row>
    <row r="118" spans="1:27" x14ac:dyDescent="0.25">
      <c r="I118" s="37"/>
      <c r="L118" s="33"/>
      <c r="N118" s="37">
        <f>+M114+N114</f>
        <v>65600000</v>
      </c>
      <c r="O118" s="37"/>
    </row>
    <row r="119" spans="1:27" x14ac:dyDescent="0.25">
      <c r="L119" s="33"/>
    </row>
    <row r="120" spans="1:27" x14ac:dyDescent="0.25">
      <c r="L120" s="33"/>
    </row>
    <row r="121" spans="1:27" x14ac:dyDescent="0.25">
      <c r="L121" s="33"/>
    </row>
    <row r="122" spans="1:27" x14ac:dyDescent="0.25">
      <c r="L122" s="33"/>
    </row>
    <row r="126" spans="1:27" x14ac:dyDescent="0.25">
      <c r="R126">
        <v>41</v>
      </c>
    </row>
    <row r="127" spans="1:27" x14ac:dyDescent="0.25">
      <c r="R127">
        <v>28</v>
      </c>
    </row>
    <row r="128" spans="1:27" x14ac:dyDescent="0.25">
      <c r="R128">
        <f>R126+R127</f>
        <v>69</v>
      </c>
    </row>
    <row r="131" spans="12:15" x14ac:dyDescent="0.25">
      <c r="L131" s="33">
        <v>2800000</v>
      </c>
      <c r="M131" s="37">
        <f>J117-L131</f>
        <v>-2800000</v>
      </c>
      <c r="N131" s="37"/>
      <c r="O131" s="37"/>
    </row>
  </sheetData>
  <sortState xmlns:xlrd2="http://schemas.microsoft.com/office/spreadsheetml/2017/richdata2" ref="A2:H92">
    <sortCondition ref="A2:A92"/>
  </sortState>
  <mergeCells count="6">
    <mergeCell ref="X1:AA1"/>
    <mergeCell ref="P1:R1"/>
    <mergeCell ref="I1:L1"/>
    <mergeCell ref="F1:H1"/>
    <mergeCell ref="C1:E1"/>
    <mergeCell ref="T1:W1"/>
  </mergeCells>
  <conditionalFormatting sqref="V1:V1048576">
    <cfRule type="cellIs" dxfId="5" priority="5" operator="equal">
      <formula>"IMPAYES"</formula>
    </cfRule>
    <cfRule type="cellIs" dxfId="4" priority="6" operator="equal">
      <formula>"NON MEMBRE"</formula>
    </cfRule>
    <cfRule type="cellIs" dxfId="3" priority="7" operator="equal">
      <formula>"A JOUR"</formula>
    </cfRule>
  </conditionalFormatting>
  <conditionalFormatting sqref="Z1:Z1048576">
    <cfRule type="cellIs" dxfId="2" priority="1" operator="equal">
      <formula>"IMPAYES"</formula>
    </cfRule>
    <cfRule type="cellIs" dxfId="1" priority="2" operator="equal">
      <formula>"NON MEMBRE"</formula>
    </cfRule>
    <cfRule type="cellIs" dxfId="0" priority="3" operator="equal">
      <formula>"A JOUR"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C15" sqref="C15"/>
    </sheetView>
  </sheetViews>
  <sheetFormatPr baseColWidth="10" defaultRowHeight="15" x14ac:dyDescent="0.25"/>
  <cols>
    <col min="1" max="1" width="50" bestFit="1" customWidth="1"/>
    <col min="2" max="2" width="14.28515625" bestFit="1" customWidth="1"/>
    <col min="3" max="3" width="24.7109375" bestFit="1" customWidth="1"/>
    <col min="4" max="4" width="15.140625" customWidth="1"/>
  </cols>
  <sheetData>
    <row r="1" spans="1:4" x14ac:dyDescent="0.25">
      <c r="A1" s="1" t="s">
        <v>220</v>
      </c>
      <c r="B1" s="1" t="s">
        <v>1</v>
      </c>
      <c r="C1" s="1" t="s">
        <v>2</v>
      </c>
      <c r="D1" s="1" t="s">
        <v>222</v>
      </c>
    </row>
    <row r="2" spans="1:4" x14ac:dyDescent="0.25">
      <c r="A2" s="1" t="s">
        <v>221</v>
      </c>
      <c r="B2" s="3">
        <v>1000000</v>
      </c>
      <c r="C2" s="1" t="s">
        <v>223</v>
      </c>
      <c r="D2" s="3">
        <v>2000000</v>
      </c>
    </row>
    <row r="3" spans="1:4" x14ac:dyDescent="0.25">
      <c r="A3" s="1" t="s">
        <v>48</v>
      </c>
      <c r="B3" s="3">
        <v>200000</v>
      </c>
      <c r="C3" s="1" t="s">
        <v>224</v>
      </c>
      <c r="D3" s="3">
        <v>200000</v>
      </c>
    </row>
    <row r="4" spans="1:4" x14ac:dyDescent="0.25">
      <c r="A4" s="1" t="s">
        <v>225</v>
      </c>
      <c r="B4" s="3">
        <v>1000000</v>
      </c>
      <c r="C4" s="1" t="s">
        <v>224</v>
      </c>
      <c r="D4" s="3">
        <v>1000000</v>
      </c>
    </row>
    <row r="5" spans="1:4" x14ac:dyDescent="0.25">
      <c r="A5" s="1" t="s">
        <v>28</v>
      </c>
      <c r="B5" s="3">
        <v>200000</v>
      </c>
      <c r="C5" s="1">
        <v>2022</v>
      </c>
      <c r="D5" s="3">
        <v>200000</v>
      </c>
    </row>
    <row r="6" spans="1:4" ht="15.75" thickBot="1" x14ac:dyDescent="0.3">
      <c r="A6" s="1" t="s">
        <v>143</v>
      </c>
      <c r="B6" s="3">
        <v>200000</v>
      </c>
      <c r="C6" s="47">
        <v>2022</v>
      </c>
      <c r="D6" s="45">
        <v>200000</v>
      </c>
    </row>
    <row r="7" spans="1:4" ht="15.75" thickBot="1" x14ac:dyDescent="0.3">
      <c r="B7" s="33"/>
      <c r="C7" s="44" t="s">
        <v>157</v>
      </c>
      <c r="D7" s="46">
        <f>SUM(D2:D6)</f>
        <v>3600000</v>
      </c>
    </row>
    <row r="8" spans="1:4" x14ac:dyDescent="0.25">
      <c r="B8" s="33"/>
      <c r="D8" s="33"/>
    </row>
    <row r="9" spans="1:4" x14ac:dyDescent="0.25">
      <c r="B9" s="33"/>
      <c r="D9" s="33"/>
    </row>
    <row r="10" spans="1:4" x14ac:dyDescent="0.25">
      <c r="B10" s="33"/>
      <c r="D10" s="33"/>
    </row>
    <row r="11" spans="1:4" x14ac:dyDescent="0.25">
      <c r="B11" s="33"/>
      <c r="D11" s="33"/>
    </row>
    <row r="12" spans="1:4" x14ac:dyDescent="0.25">
      <c r="B12" s="33"/>
      <c r="D12" s="33"/>
    </row>
    <row r="13" spans="1:4" x14ac:dyDescent="0.25">
      <c r="B13" s="33"/>
      <c r="D13" s="33"/>
    </row>
    <row r="14" spans="1:4" x14ac:dyDescent="0.25">
      <c r="B14" s="33"/>
      <c r="D14" s="33"/>
    </row>
    <row r="15" spans="1:4" x14ac:dyDescent="0.25">
      <c r="B15" s="33"/>
      <c r="D15" s="33"/>
    </row>
    <row r="16" spans="1:4" x14ac:dyDescent="0.25">
      <c r="B16" s="33"/>
      <c r="D16" s="33"/>
    </row>
    <row r="17" spans="2:4" x14ac:dyDescent="0.25">
      <c r="B17" s="33"/>
      <c r="D17" s="33"/>
    </row>
    <row r="18" spans="2:4" x14ac:dyDescent="0.25">
      <c r="B18" s="33"/>
      <c r="D18" s="3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SUIVI PAIEMENT COTISATION</vt:lpstr>
      <vt:lpstr>COTISATION ANTERIEURE PAYEE EN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RANOROMALALA Daniella</dc:creator>
  <cp:lastModifiedBy>sebtp@oti.mg</cp:lastModifiedBy>
  <dcterms:created xsi:type="dcterms:W3CDTF">2024-05-02T07:08:38Z</dcterms:created>
  <dcterms:modified xsi:type="dcterms:W3CDTF">2026-03-25T12:56:46Z</dcterms:modified>
</cp:coreProperties>
</file>